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Sheet1!$A$1:$AY$152</definedName>
  </definedNames>
  <calcPr/>
  <extLst>
    <ext uri="GoogleSheetsCustomDataVersion2">
      <go:sheetsCustomData xmlns:go="http://customooxmlschemas.google.com/" r:id="rId5" roundtripDataChecksum="71Bmgq2KC6I4vFjdbL4x+Yr/g5oRnwQ3PFyc8tvQdK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ID#AAAB1LZ6mZ4
Prof. Mo (Instructor)    (2026-03-01 09:07:31)
INSTRUCTOR FEEDBACK (contributes to R3 + R5)
1,006 candidate papers with 29 marked as core corpus — excellent systematic identification. 48 metadata columns with comprehensive technical details for core papers.
NOTE: The large candidate pool (1,006) with only 42 include_core decisions filled (4.2%) is expected since most are candidates awaiting full screening.
M2 ACTION: As you complete dual screening, update include_core for additional papers.</t>
      </text>
    </comment>
  </commentList>
  <extLst>
    <ext uri="GoogleSheetsCustomDataVersion2">
      <go:sheetsCustomData xmlns:go="http://customooxmlschemas.google.com/" r:id="rId1" roundtripDataSignature="AMtx7mhkXWSUObDXchsXnz5DblXrAdnJEw=="/>
    </ext>
  </extLst>
</comments>
</file>

<file path=xl/sharedStrings.xml><?xml version="1.0" encoding="utf-8"?>
<sst xmlns="http://schemas.openxmlformats.org/spreadsheetml/2006/main" count="5477" uniqueCount="2304">
  <si>
    <t>paper_id</t>
  </si>
  <si>
    <t>bib_key</t>
  </si>
  <si>
    <t>doi_or_url</t>
  </si>
  <si>
    <t>year</t>
  </si>
  <si>
    <t>venue</t>
  </si>
  <si>
    <t>title</t>
  </si>
  <si>
    <t>authors</t>
  </si>
  <si>
    <t>iot_subdomain</t>
  </si>
  <si>
    <t>deployment_setting</t>
  </si>
  <si>
    <t>task_primary</t>
  </si>
  <si>
    <t>task_secondary</t>
  </si>
  <si>
    <t>sensors</t>
  </si>
  <si>
    <t>signal_type</t>
  </si>
  <si>
    <t>sampling_rate_hz</t>
  </si>
  <si>
    <t>window_length_s</t>
  </si>
  <si>
    <t>platform_class</t>
  </si>
  <si>
    <t>mcu_soc</t>
  </si>
  <si>
    <t>accelerator</t>
  </si>
  <si>
    <t>connectivity_pattern</t>
  </si>
  <si>
    <t>toolchain_runtime</t>
  </si>
  <si>
    <t>model_family</t>
  </si>
  <si>
    <t>model_name</t>
  </si>
  <si>
    <t>quantization</t>
  </si>
  <si>
    <t>pruning</t>
  </si>
  <si>
    <t>distillation</t>
  </si>
  <si>
    <t>nas</t>
  </si>
  <si>
    <t>training_data</t>
  </si>
  <si>
    <t>dataset_name</t>
  </si>
  <si>
    <t>fleet_scale_reported</t>
  </si>
  <si>
    <t>ota_update_reported</t>
  </si>
  <si>
    <t>metrics_primary_name</t>
  </si>
  <si>
    <t>metrics_primary_value</t>
  </si>
  <si>
    <t>metrics_latency_ms</t>
  </si>
  <si>
    <t>metrics_energy_mj</t>
  </si>
  <si>
    <t>metrics_power_mw</t>
  </si>
  <si>
    <t>battery_life_claim</t>
  </si>
  <si>
    <t>flash_kb</t>
  </si>
  <si>
    <t>ram_kb</t>
  </si>
  <si>
    <t>model_kb</t>
  </si>
  <si>
    <t>privacy_technique</t>
  </si>
  <si>
    <t>security_notes</t>
  </si>
  <si>
    <t>real_world_eval</t>
  </si>
  <si>
    <t>code_available</t>
  </si>
  <si>
    <t>code_url</t>
  </si>
  <si>
    <t>pdf_location</t>
  </si>
  <si>
    <t>note1</t>
  </si>
  <si>
    <t>note2</t>
  </si>
  <si>
    <t>include_core</t>
  </si>
  <si>
    <t>screen_reason</t>
  </si>
  <si>
    <t>class_id</t>
  </si>
  <si>
    <t>class_confidence</t>
  </si>
  <si>
    <t>T0001</t>
  </si>
  <si>
    <t>arciniegas_iot_2025</t>
  </si>
  <si>
    <t>10.1007/s43926-025-00142-4</t>
  </si>
  <si>
    <t>Discover Internet of Things (Springer)</t>
  </si>
  <si>
    <t>IoT device for detecting abnormal vibrations in motors using TinyML</t>
  </si>
  <si>
    <t>Stalin Arciniegas, Dulce Rivero, Jefferson Piñan, Elizabeth Diaz, Francklin Rivas</t>
  </si>
  <si>
    <t>Industrial IoT</t>
  </si>
  <si>
    <t>IndustrialIoT</t>
  </si>
  <si>
    <t>AnomalyDetection</t>
  </si>
  <si>
    <t>Secondary Classification / Detection</t>
  </si>
  <si>
    <t>IMU / Motion</t>
  </si>
  <si>
    <t>IMU / Vibration</t>
  </si>
  <si>
    <t>NA</t>
  </si>
  <si>
    <t>MCU</t>
  </si>
  <si>
    <t>ESP32S3 (Xtensa LX7)</t>
  </si>
  <si>
    <t>AI hardware accelerator (built-in)</t>
  </si>
  <si>
    <t>Intermittent</t>
  </si>
  <si>
    <t>Edge Impulse, TensorFlow Lite Micro</t>
  </si>
  <si>
    <t>Hybrid / Ensemble</t>
  </si>
  <si>
    <t>3-20-10-3 DNN</t>
  </si>
  <si>
    <t>Yes (32-bit to 8-bit)</t>
  </si>
  <si>
    <t>Yes (matrix factorization)</t>
  </si>
  <si>
    <t>Self-collected</t>
  </si>
  <si>
    <t>Single device</t>
  </si>
  <si>
    <t>No</t>
  </si>
  <si>
    <t>Accuracy</t>
  </si>
  <si>
    <t>25 (inference), 300 (end-to-end)</t>
  </si>
  <si>
    <t>On-device Inference</t>
  </si>
  <si>
    <t>Laboratory only</t>
  </si>
  <si>
    <t>https://link.springer.com/article/10.1007/s43926-025-00142-4</t>
  </si>
  <si>
    <t>Combines spectral analysis (FFT) with DNN. Uses Edge Impulse platform.</t>
  </si>
  <si>
    <t xml:space="preserve">Relevant paper on motor fault detection using a TinyML model deployed on the XIAO ESP32S3 device. Reports accuracy and latency. Limitations: lacks information about memory or power consumption. Paper mentions that the model fits within the device specifications, but no concrete numbers are given. Two options -&gt; extract this information through board specifications (&lt;= a certain a number) or mention limitations. </t>
  </si>
  <si>
    <t>Yes</t>
  </si>
  <si>
    <t>Passed all rules</t>
  </si>
  <si>
    <t>C04</t>
  </si>
  <si>
    <t>High</t>
  </si>
  <si>
    <t>T0002</t>
  </si>
  <si>
    <t>antonini_tinyml_2022</t>
  </si>
  <si>
    <t>10.3390/s23042344</t>
  </si>
  <si>
    <t>Sensors (MDPI)</t>
  </si>
  <si>
    <t>An Adaptable and Unsupervised TinyML Anomaly Detection System for Extreme Industrial Environments</t>
  </si>
  <si>
    <t>Mattia Antonini, Miguel Pincheira, Massimo Vecchio, Fabio Antonelli</t>
  </si>
  <si>
    <t>Condition Monitoring / Predictive Maintenance</t>
  </si>
  <si>
    <t>Multi-sensor Fusion</t>
  </si>
  <si>
    <t>Multimodal / Fusion</t>
  </si>
  <si>
    <t>ESP32-WROVER-IE (4MB SPIRAM, 4MB flash)</t>
  </si>
  <si>
    <t>Wired / Serial</t>
  </si>
  <si>
    <t>MicroPython, ulab, emlearn</t>
  </si>
  <si>
    <t>Classical ML</t>
  </si>
  <si>
    <t>10-50 trees</t>
  </si>
  <si>
    <t>Self-collected from test-bed</t>
  </si>
  <si>
    <t>Inference time</t>
  </si>
  <si>
    <t>3.53-14.67 ms (normal), 1.78-10.9 ms (anomaly)</t>
  </si>
  <si>
    <t>3.53-14.67</t>
  </si>
  <si>
    <t>270-884</t>
  </si>
  <si>
    <t>Cryptographic Security</t>
  </si>
  <si>
    <t>Digitally signed blockchain transactions</t>
  </si>
  <si>
    <t>Test-bed validation</t>
  </si>
  <si>
    <t>https://www.mdpi.com/1424-8220/23/4/2344</t>
  </si>
  <si>
    <t>First to combine TinyML, Isolation Forest, and blockchain for non-repudiable anomaly detection.</t>
  </si>
  <si>
    <t xml:space="preserve">Anomaly detection system using an isolation forest model deployed on an ESP32 MCU. Reports sufficient metrics. </t>
  </si>
  <si>
    <t>T0003</t>
  </si>
  <si>
    <t>martinez-rau_tinyml_2024</t>
  </si>
  <si>
    <t>10.1109/SAS60918.2024.10636584</t>
  </si>
  <si>
    <t>IEEE Sensors Applications Symposium (SAS)</t>
  </si>
  <si>
    <t>TinyML Anomaly Detection for Industrial Machines with Periodic Duty Cycles</t>
  </si>
  <si>
    <t>Luciano Sebastian Martinez-Rau, Yuxuan Zhang, Bengt Oelmann, Sebastian Bader</t>
  </si>
  <si>
    <t>Specialized / Industrial</t>
  </si>
  <si>
    <t>0.0167 (1/minute)</t>
  </si>
  <si>
    <t>nRF52840 (Cortex-M4), RP2040 (Cortex-M0+)</t>
  </si>
  <si>
    <t>FPU on nRF52840 only</t>
  </si>
  <si>
    <t>emlearn, micromlgen</t>
  </si>
  <si>
    <t>MLP1 (12 neurons)</t>
  </si>
  <si>
    <t>4 months real industrial data</t>
  </si>
  <si>
    <t>Single conveyor</t>
  </si>
  <si>
    <t>F1-score (duty cycles)</t>
  </si>
  <si>
    <t>87.6% (normal/abnormal cycles)</t>
  </si>
  <si>
    <t>0.011-0.831</t>
  </si>
  <si>
    <t>0.00012-0.04289</t>
  </si>
  <si>
    <t>53.56-660.79</t>
  </si>
  <si>
    <t>13.9-46.9</t>
  </si>
  <si>
    <t>Yes - 4 months real data</t>
  </si>
  <si>
    <t>https://ieeexplore.ieee.org/document/10636584</t>
  </si>
  <si>
    <t>Excellent metrics comparison across two MCUs. Best internal state classification: 96.8% F1 with RF.</t>
  </si>
  <si>
    <t>Anomaly detection in industry machines tested through 6 ML models deployed on 2 MCUs. Reports detailed f1-scores, and metrics such as energy consumption and latency.</t>
  </si>
  <si>
    <t>T0004</t>
  </si>
  <si>
    <t>chen_self-powered_202</t>
  </si>
  <si>
    <t>10.1109/IESES53571.2023.10253705</t>
  </si>
  <si>
    <t>IEEE IESES</t>
  </si>
  <si>
    <t>A Self-powered Sensing System With Embedded TinyML for Anomaly Detection</t>
  </si>
  <si>
    <t>Zijie Chen, Yiming Gao, Junrui Liang</t>
  </si>
  <si>
    <t>LabBenchmark</t>
  </si>
  <si>
    <t>0.4 (8 samples)</t>
  </si>
  <si>
    <t>ESP32 (Xtensa LX6, 240MHz, 512KB RAM, 2MB flash)</t>
  </si>
  <si>
    <t>TensorFlow, TensorFlow Lite Micro</t>
  </si>
  <si>
    <t>DNN 3-layer (16,8,4)</t>
  </si>
  <si>
    <t>Yes (TFLite)</t>
  </si>
  <si>
    <t xml:space="preserve">Yes </t>
  </si>
  <si>
    <t>0.2 (inference only)</t>
  </si>
  <si>
    <t>1.249 (total cycle), 0.0367 (inference)</t>
  </si>
  <si>
    <t>https://ieeexplore.ieee.org/document/10253705</t>
  </si>
  <si>
    <t>Innovative: First to combine self-powered piezoelectric sensor with TinyML. 66.74% energy saving vs IMU. Works with only 8 samples at 20 Hz.</t>
  </si>
  <si>
    <t xml:space="preserve">Utilizes a piezoelectric cantilever to detect anomalies in industry machinery. Reports key metrics like accuracy, energy consumption, and RAM </t>
  </si>
  <si>
    <t>T0005</t>
  </si>
  <si>
    <t>gimenez_comparison_2022</t>
  </si>
  <si>
    <t>10.1109/MECO55406.2022.9797171</t>
  </si>
  <si>
    <t>IEEE MECO</t>
  </si>
  <si>
    <t>Comparison of Two Microcontroller Boards for On-Device Model Training in a Keyword Spotting Task</t>
  </si>
  <si>
    <t>Nil Llisterri Giménez, et al.</t>
  </si>
  <si>
    <t>Smart Home</t>
  </si>
  <si>
    <t>KeywordSpotting</t>
  </si>
  <si>
    <t>On-device Learning</t>
  </si>
  <si>
    <t>Audio / Acoustic</t>
  </si>
  <si>
    <t>Audio</t>
  </si>
  <si>
    <t>Arduino Nano 33 BLE (Cortex-M4)</t>
  </si>
  <si>
    <t>FPU</t>
  </si>
  <si>
    <t>Edge Impulse / TFLM</t>
  </si>
  <si>
    <t>1D-CNN</t>
  </si>
  <si>
    <t>Yes (INT8)</t>
  </si>
  <si>
    <t>On-device training</t>
  </si>
  <si>
    <t>Speech Commands Dataset</t>
  </si>
  <si>
    <t>23.55 mAh (total)</t>
  </si>
  <si>
    <t>https://ieeexplore.ieee.org/document/9797171</t>
  </si>
  <si>
    <t>Real MCU deployment on Arduino Nano 33 BLE Sense and Portenta H7. Reports measured inference time, training latency, SRAM usage breakdown, and current consumption during operation. Fully traceable hardware evaluation.</t>
  </si>
  <si>
    <t>Demonstrates on-device MCU deployment of the model and reports platform plus at least two deployment metrics</t>
  </si>
  <si>
    <t>C02</t>
  </si>
  <si>
    <t>T0006</t>
  </si>
  <si>
    <t>k_edge_2025</t>
  </si>
  <si>
    <t>10.1109/ICECA66444.2025.11382566</t>
  </si>
  <si>
    <t>IEEE ICECA</t>
  </si>
  <si>
    <t>Edge AI Driven Real Time Voice Controlled System for Sustainable Water Management</t>
  </si>
  <si>
    <t>Bhaskar MK, E A Gowri, et al.</t>
  </si>
  <si>
    <t>SmartHome</t>
  </si>
  <si>
    <t>Control / Actuation / Alerting</t>
  </si>
  <si>
    <t>Arduino (ATmega328P based)</t>
  </si>
  <si>
    <t>Edge Impulse</t>
  </si>
  <si>
    <t>CNN</t>
  </si>
  <si>
    <t>Audio Classifier</t>
  </si>
  <si>
    <t>Voice Command Dataset</t>
  </si>
  <si>
    <t>Prototype validation</t>
  </si>
  <si>
    <t>https://ieeexplore.ieee.org/document/11382566</t>
  </si>
  <si>
    <t>Real deployment on Arduino Nano 33 BLE Sense. Reports measured inference latency (4ms), peak RAM (12.7kB), and flash usage (51.3kB) in Table 1. IoT smart home water management application.</t>
  </si>
  <si>
    <t>Performs on-device deployment on MCU class hardware and also reports all the necessary metrics.</t>
  </si>
  <si>
    <t>T0007</t>
  </si>
  <si>
    <t>abbas_keyword_2023</t>
  </si>
  <si>
    <t>10.11113/jurnalteknologi.v85.18744</t>
  </si>
  <si>
    <t>Jurnal Teknologi (Scopus)</t>
  </si>
  <si>
    <t>Keyword Spotting System with Nano 33 BLE Sense Using Embedded Machine Learning Approach</t>
  </si>
  <si>
    <t>Nurul Atikah Abbas, Mohd Ridzuan Ahmad</t>
  </si>
  <si>
    <t>Arduino Nano 33 BLE Sense</t>
  </si>
  <si>
    <t>Cascaded KWS</t>
  </si>
  <si>
    <t>On/Off' Command Dataset</t>
  </si>
  <si>
    <t>Practical testing</t>
  </si>
  <si>
    <t>https://journals.utm.my/jurnalteknologi/article/view/18744</t>
  </si>
  <si>
    <t>Jurnal Teknologi 2023 (Scopus-indexed). KWS on Arduino Nano BLE Sense, reports latency (26ms) and accuracy (84.5%), smart home application. Good TinyML deployment paper for S1 (Audio/KWS).</t>
  </si>
  <si>
    <t xml:space="preserve">Excellent example of a deployable smart home mcu compatible architecture </t>
  </si>
  <si>
    <t>T0008</t>
  </si>
  <si>
    <t>andalib_exploring_2024</t>
  </si>
  <si>
    <t>10.1109/MECO62516.2024.10577837</t>
  </si>
  <si>
    <t>Exploring Local and Cloud-Based Training Use Cases for Embedded Machine Learning</t>
  </si>
  <si>
    <t>Nelum Andalib, Mennan Selimi</t>
  </si>
  <si>
    <t>TensorFlow Lite Micro</t>
  </si>
  <si>
    <t>Weather KWS</t>
  </si>
  <si>
    <t>Cloud-trained/Local-deploy</t>
  </si>
  <si>
    <t>Speech Commands v2</t>
  </si>
  <si>
    <t>Field testing</t>
  </si>
  <si>
    <t>https://ieeexplore.ieee.org/document/10577837</t>
  </si>
  <si>
    <t>MECO 2024, deploys on Arduino Nano BLE for both weather station and KWS</t>
  </si>
  <si>
    <t>T0009</t>
  </si>
  <si>
    <t>hammad_unsupervised_2023</t>
  </si>
  <si>
    <t>10.1016/j.iot.2023.100848</t>
  </si>
  <si>
    <t>Internet of Things</t>
  </si>
  <si>
    <t>An unsupervised TinyML approach applied to the detection of urban noise anomalies under the smart cities environment</t>
  </si>
  <si>
    <t>Hammad, Sahibzada Saadoon and Iskandaryan, Ditsuhi and Trilles, Sergio</t>
  </si>
  <si>
    <t>Smart City</t>
  </si>
  <si>
    <t>SmartCity</t>
  </si>
  <si>
    <t>ESP32-S3-DevKitC-1-N32R8V</t>
  </si>
  <si>
    <t>OfflineFirst</t>
  </si>
  <si>
    <t>TensorFlow Lite ESP-IDF</t>
  </si>
  <si>
    <t>RNN / LSTM</t>
  </si>
  <si>
    <t>LSTM autoencoder</t>
  </si>
  <si>
    <t>local historical sensor data</t>
  </si>
  <si>
    <t>Helsinki urban noise sensor network; not public</t>
  </si>
  <si>
    <t xml:space="preserve">Accuracy </t>
  </si>
  <si>
    <t>None Explicit</t>
  </si>
  <si>
    <t>WiFi/ Bluetooth available but not used for inference</t>
  </si>
  <si>
    <t>Yes, real data</t>
  </si>
  <si>
    <t>https://www.sciencedirect.com/science/article/pii/S2542660523001713</t>
  </si>
  <si>
    <t>SmartCity TinyML deployment using TensorFlow Lite on MCU; reports ~4 ms inference time, measured power (0.27–0.33 W), and memory footprint (800 KB flash, 102 KB RAM)</t>
  </si>
  <si>
    <t>Real deployment on ESP32-S3-DevKitC-1 MCU. Reports measured inference time (4 ms), power consumption (0.2693 W ±0.039 and 0.3268 W ±0.015), flash occupancy (800.63 KB), RAM occupancy (102.62 KB / 112.71 KB), and heap memory usage (528 / 744 bytes). Full traceability with confusion matrices, RMSE comparison (original vs. TFLite), and detailed methodology. Smart city / urban noise monitoring domain.</t>
  </si>
  <si>
    <t>C02; C03</t>
  </si>
  <si>
    <t>Medium; High</t>
  </si>
  <si>
    <t>T0010</t>
  </si>
  <si>
    <t>huang_tiny-machine-learning-based_2024</t>
  </si>
  <si>
    <t>10.3390/s24134124</t>
  </si>
  <si>
    <t>Sensors</t>
  </si>
  <si>
    <t>Tiny-Machine-Learning-Based Supply Canal Surface Condition Monitoring</t>
  </si>
  <si>
    <t>Huang, Chengjie and Sun, Xinjuan and Zhang, Yuxuan</t>
  </si>
  <si>
    <t>Camera (Vision)</t>
  </si>
  <si>
    <t>Image / Video</t>
  </si>
  <si>
    <t>Arduino Nano 33 BLE Sense nRF52840</t>
  </si>
  <si>
    <t>custom lightweight CNN</t>
  </si>
  <si>
    <t>locally collected damage images</t>
  </si>
  <si>
    <t>Supply Canal Surface Damage Dataset; not public</t>
  </si>
  <si>
    <t>11 years</t>
  </si>
  <si>
    <t>Yes, on-field deployment</t>
  </si>
  <si>
    <t>https://www.mdpi.com/1424-8220/24/13/4124</t>
  </si>
  <si>
    <t>Vision-based tructural health monitoring of water infrastructure using TinyML CNN on Arduino Nano 33 BLE Sense (nRF52840). Reports latency (296 ms), energy (5610 µJ), and memory (96 KB RAM, 0.35 MB flash).</t>
  </si>
  <si>
    <t>Real deployment on Arduino Nano 33 BLE Sense (ARM Cortex-M4F). Reports model size (7.57 KB), flash usage (354.48 KB), RAM usage (96 KB), inference time (296.94 ms), and energy per inference (5610.18 μJ). Full traceability with confusion matrices (pre/post deployment), resource tables, and power calculations from datasheet. Structural health monitoring / water infrastructure domain (IoT/smart infrastructure).</t>
  </si>
  <si>
    <t>C03; C04</t>
  </si>
  <si>
    <t>High; Medium</t>
  </si>
  <si>
    <t>T0011</t>
  </si>
  <si>
    <t>datta_pollusensecheck_2025</t>
  </si>
  <si>
    <t>10.1109/COMSNETS63942.2025.10885641</t>
  </si>
  <si>
    <t>COMSNETS</t>
  </si>
  <si>
    <t>PolluSenseCheck: Cost Effective TinyML-based Air Quality Monitoring System with In-Built Sensor Fault Detection</t>
  </si>
  <si>
    <t>Datta, Arko and Chakraborty, Joyita and Majhi, Pabitra and Mondal, Astom and Roy, Satyaki and Nandi, Subrata and Saha, Sujoy</t>
  </si>
  <si>
    <t>Regression</t>
  </si>
  <si>
    <t>Environmental / Gas</t>
  </si>
  <si>
    <t>ESP32-S3</t>
  </si>
  <si>
    <t>Wireless Communication</t>
  </si>
  <si>
    <t>DNN / MLP</t>
  </si>
  <si>
    <t>NN</t>
  </si>
  <si>
    <t>multi-city historical air quality data</t>
  </si>
  <si>
    <t>PolluSense Environmental Sensor Dataset; not public</t>
  </si>
  <si>
    <t>0.95 (best)</t>
  </si>
  <si>
    <t>https://ieeexplore.ieee.org/document/10885641</t>
  </si>
  <si>
    <t>Environmental monitoring system for urban air quality (PM2.5/PM10, CO). MCU-based (ESP32-S3) TinyML deployment with reported model size and inference memory. WiFi/cellular connectivity; includes on-device sensor fault detection.</t>
  </si>
  <si>
    <t>Mentions TinyML and deployment on device, but no specific MCU platform named in the abstract. No reported measured latency, power/energy, or memory usage from actual hardware deployment. Reports accuracy (0.69–0.89 for dust, 0.76–0.95 for CO) and use of TensorFlow Lite Micro, but lacks hardware performance metrics.</t>
  </si>
  <si>
    <t>C03</t>
  </si>
  <si>
    <t xml:space="preserve">High </t>
  </si>
  <si>
    <t>T0012</t>
  </si>
  <si>
    <t>da_silva_tinyml-based_2023</t>
  </si>
  <si>
    <t>10.1109/LA-CCI58595.2023.10409357</t>
  </si>
  <si>
    <t>IEEE LA-CCI</t>
  </si>
  <si>
    <t>TinyML-Based Pothole Detection: A Comparative Analysis of YOLO and FOMO Model Performance</t>
  </si>
  <si>
    <t>Da Silva, Jordão and Flores, Thommas and Júnior, Silvan and Silva, Ivanovitch</t>
  </si>
  <si>
    <t>Object/Event Classification</t>
  </si>
  <si>
    <t>Arduino Portenta H7 and Arduino BLE 33 Sense</t>
  </si>
  <si>
    <t>TensorFlow Lite via Edge Impulse</t>
  </si>
  <si>
    <t>YOLOv5-nano, YOLOv8-nano, FOMO</t>
  </si>
  <si>
    <t>Roboflow pothole dataset</t>
  </si>
  <si>
    <t>Roboflow Pothole Detection 1388 images</t>
  </si>
  <si>
    <t>mAP/ F1</t>
  </si>
  <si>
    <t>&lt; 1000 ms (real-time target; Jetson &lt; 300 ms, BLE &lt; 1000 ms only with FOMO INT8)</t>
  </si>
  <si>
    <t>&lt;= 3500</t>
  </si>
  <si>
    <t xml:space="preserve"> &lt;= 2600</t>
  </si>
  <si>
    <t>On-device inference reduces need for video transmission</t>
  </si>
  <si>
    <t>https://ieeexplore.ieee.org/document/10409357</t>
  </si>
  <si>
    <t xml:space="preserve">Infrastructure monitoring (pothole detection) using camera-based TinyML (YOLO/FOMO). Evaluated on MCU-class devices (Portenta H7, BLE Sense 33) with reported inference time, RAM/Flash usage, and energy/CO₂ analysis. </t>
  </si>
  <si>
    <t>Evaluates YOLOv5, YOLOv8, and FOMO models for pothole detection using TinyML. Reports tracking carbon footprint during training and discusses energy usage as models are reduced in complexity. However, no specific MCU platform named in abstract, no measured inference latency, no measured power/energy from deployed hardware, and no memory usage reported. Abstract indicates FOMO is "quickest and most energy-efficient" but no quantitative hardware metrics provided.</t>
  </si>
  <si>
    <t>T0013</t>
  </si>
  <si>
    <t>da_silva_edge-ai_2025</t>
  </si>
  <si>
    <t>10.1109/ETFA65518.2025.11205590</t>
  </si>
  <si>
    <t>IEEE ETFA</t>
  </si>
  <si>
    <t>Edge-AI Framework for Fire Detection in Wildland-Urban Interface using TinyML</t>
  </si>
  <si>
    <t>da Silva, Rodrigo Santa Comba Coelho and Bittencourt, João Carlos N. and Costa, Daniel G.</t>
  </si>
  <si>
    <t>Event Detection</t>
  </si>
  <si>
    <t>Nordic nRF52840 (ARM Cortex-M4 @64 MHz)</t>
  </si>
  <si>
    <t>TensorFlow Lite icro via Edge Impulse + EON compiler</t>
  </si>
  <si>
    <t>MobileNetV2</t>
  </si>
  <si>
    <t xml:space="preserve">Custom wildfire dataset 2930 images </t>
  </si>
  <si>
    <t>Fire-WUI Dataset (public GitHub release)</t>
  </si>
  <si>
    <t>Prototype enclosure tested; evaluated on external datasets</t>
  </si>
  <si>
    <t>https://ieeexplore.ieee.org/document/11205590</t>
  </si>
  <si>
    <t>SmartCity environmental monitoring (wildfire detection at WUI) using camera-based TinyML on Arduino Nano 33 BLE Sense (nRF52840). Reports inference time (992 ms), RAM (169 KB), and Flash (236 KB). Fully on-device deployment with enclosure prototype.</t>
  </si>
  <si>
    <t>Real deployment on Arduino Nano 33 BLE Sense (resource-constrained hardware). Reports inference time (992 ms for MobileNetV2) , global accuracy (91.4%) , AUC-ROC (0.93) , and addresses memory constraints of the platform. However, no measured power/energy consumption reported, and no specific memory usage numbers (RAM/flash) provided in the abstract. Custom enclosure designed for real-world deployment mentioned.</t>
  </si>
  <si>
    <t>T0014</t>
  </si>
  <si>
    <t>saha_tinyml-driven_2024</t>
  </si>
  <si>
    <t>10.1145/3639856.3639859</t>
  </si>
  <si>
    <t>AIMLSystems</t>
  </si>
  <si>
    <t>TinyML-Driven On-Device Personalized Human Activity Recognition and Auto-Deployment to Smart Bands</t>
  </si>
  <si>
    <t>Saha Bidyut; Samanta Riya; Ghosh Soumya Kanti; Roy Ram Babu</t>
  </si>
  <si>
    <t>Personal / Wearable IoT</t>
  </si>
  <si>
    <t>SmartWearable</t>
  </si>
  <si>
    <t>Human Activity Recognition</t>
  </si>
  <si>
    <t>ESP32 VROOM</t>
  </si>
  <si>
    <t>Yes (only mentioned)</t>
  </si>
  <si>
    <t>𝑆𝑙𝑖𝑐𝑒5 data from the 3 datasets</t>
  </si>
  <si>
    <t>WISDM; PAMAP2; BandX</t>
  </si>
  <si>
    <t>0.8066 (BandX), 0.7157 (WISDM), 0.6007 (PAMAP2)</t>
  </si>
  <si>
    <t>&lt;200</t>
  </si>
  <si>
    <t>&lt;250</t>
  </si>
  <si>
    <t>&lt;75 mAh 24x7 usage</t>
  </si>
  <si>
    <t>&lt;15</t>
  </si>
  <si>
    <t>Cloud used only for personalization and deployment</t>
  </si>
  <si>
    <t>https://dl-acm-org.aus.idm.oclc.org/doi/pdf/10.1145/3639856.3639859</t>
  </si>
  <si>
    <t>Personalized TinyML wristband using transfer learning with automatic OTA deployment framework</t>
  </si>
  <si>
    <t>Edge-deployed HAR on wearable MCU platform (BandX 2.0). Reports multiple TinyML-relevant metrics including inference time and model size, supporting on-device privacy-preserving processing</t>
  </si>
  <si>
    <t>C01</t>
  </si>
  <si>
    <t>T0015</t>
  </si>
  <si>
    <t>samie_hierarchical_2020</t>
  </si>
  <si>
    <t>10.1109/JIOT.2020.2989053</t>
  </si>
  <si>
    <t>IEEE Internet of Things Journal</t>
  </si>
  <si>
    <t>Hierarchical Classification for Constrained IoT Devices: A Case Study on Human Activity Recognition</t>
  </si>
  <si>
    <t>Farzad Samie; Lars Bauer; Jörg Henkel</t>
  </si>
  <si>
    <t>SystemLevelOptimization</t>
  </si>
  <si>
    <t>Texas Instruments CC1350 SensorTag (ARM Cortex-M3 @ 48MHz)</t>
  </si>
  <si>
    <t>AES hardware encryption accelerator</t>
  </si>
  <si>
    <t>Scikit-learn (training); C/C++ deployment</t>
  </si>
  <si>
    <t>Offload Controller (LoR) + Onboard LYAC (DT) + Gateway Classifier (RF/KNN/XGB etc.)</t>
  </si>
  <si>
    <t>Public HAR dataset (Casale et al. 2012)</t>
  </si>
  <si>
    <t>Chest-mounted Accelerometer Dataset (15 subjects; 7 activities)</t>
  </si>
  <si>
    <t>92% (hierarchical) vs 87% (baseline)</t>
  </si>
  <si>
    <t>NOT_DIRECTLY_REPORTED (cycles provided; 48MHz MCU timing reported)</t>
  </si>
  <si>
    <t>0.142 mJ per segment (hierarchical)</t>
  </si>
  <si>
    <t>Measured; per-operation detailed (see Tables III–V)</t>
  </si>
  <si>
    <t>Hardware AES used for encrypt/decrypt before wireless transmission</t>
  </si>
  <si>
    <t>https://ieeexplore-ieee-org.aus.idm.oclc.org/stamp/stamp.jsp?tp=&amp;arnumber=9075280</t>
  </si>
  <si>
    <t>Hierarchical offloading framework using lightweight on-device classifiers and complex gateway classifier; achieves 3× energy savings with slightly improved accuracy; fully measured on real MCU hardware with power analyzer</t>
  </si>
  <si>
    <t>Constrained-device HAR with hierarchical model; reports efficiency metrics relevant to on-device TinyML deployment.</t>
  </si>
  <si>
    <t>T0016</t>
  </si>
  <si>
    <t>craighero_-device_2024</t>
  </si>
  <si>
    <t>10.1109/LES.2023.3293458</t>
  </si>
  <si>
    <t>IEEE Embedded Systems Letters</t>
  </si>
  <si>
    <t>On-Device Personalization for Human Activity Recognition on STM32</t>
  </si>
  <si>
    <t>Michele Craighero; Davide Quarantiello; Beatrice Rossi; Diego Carrera; Pasqualina Fragneto; Giacomo Boracchi</t>
  </si>
  <si>
    <t>20 (WISDM), 27 resampled to 20 (ST dataset)</t>
  </si>
  <si>
    <t>1–5 seconds (input sizes: 20 to 100 samples × 3 axes)</t>
  </si>
  <si>
    <t>STM32L496ZG (ARM Cortex-M4)</t>
  </si>
  <si>
    <t>Custom C framework (1D-CNN training + inference)</t>
  </si>
  <si>
    <t>4-layer CNN (Conv1D-Conv1D-Dense-Dense)</t>
  </si>
  <si>
    <t>WISDM (pretraining) + ST dataset (local personalization)</t>
  </si>
  <si>
    <t>WISDM; ST Dataset</t>
  </si>
  <si>
    <t xml:space="preserve">F1-score </t>
  </si>
  <si>
    <t>Full personalization outperforms TL and no personalization (e.g., WISDM Full: up to 0.978 F1; ST Full: up to 0.966 F1)</t>
  </si>
  <si>
    <t>2.33–14.25 s per batch (32 samples) depending on input size (training time)</t>
  </si>
  <si>
    <t>NOT_DIRECTLY_REPORTED (power measured; energy proportional to training time)</t>
  </si>
  <si>
    <t>~2.65–2.68 mW during training (measured)</t>
  </si>
  <si>
    <t>~10,000 parameters (≈10000 weights; memory footprint varies 63–189 KB during training depending on input size)</t>
  </si>
  <si>
    <t>No data sharing required; personalization entirely local; enables potential Federated Learning</t>
  </si>
  <si>
    <t>https://ieeexplore-ieee-org.aus.idm.oclc.org/stamp/stamp.jsp?tp=&amp;arnumber=10178063</t>
  </si>
  <si>
    <t>First full-layer CNN fine-tuning for HAR directly on STM32 MCU; supports backpropagation on-device; memory footprint estimation tool provided; demonstrates tradeoff between full retraining vs transfer learning; enables privacy-preserving personalization</t>
  </si>
  <si>
    <t>STM32-based HAR with on-device training; reports memory, latency, and energy, enabling privacy-preserving personalization.</t>
  </si>
  <si>
    <t>T0017</t>
  </si>
  <si>
    <t>hossan_tinyhar-net_2025</t>
  </si>
  <si>
    <t>10.1109/LES.2025.3639944</t>
  </si>
  <si>
    <t>TinyHAR-Net: Design and Implementation of a TinyML-Based Human Activity Recognition Framework on STM32</t>
  </si>
  <si>
    <t>Imran Hossan; Mst. Nusratul Jannat Mary; Mohammod Abdul Motin</t>
  </si>
  <si>
    <t>20 (WISDM); 50 (MotionSense, MHEALTH)</t>
  </si>
  <si>
    <t>120 samples optimal (dataset dependent; sliding window 50% overlap)</t>
  </si>
  <si>
    <t>STM32F446RE (ARM Cortex-M4, 180 MHz, FPU)</t>
  </si>
  <si>
    <t>FPU (Floating Point Unit; no NPU)</t>
  </si>
  <si>
    <t>TensorFlow + Keras (training); TensorFlow Lite (.tflite) → STM32CubeIDE deployment</t>
  </si>
  <si>
    <t>TinyHAR-Net</t>
  </si>
  <si>
    <t>Optional full-integer quantization evaluated (not required)</t>
  </si>
  <si>
    <t>Public datasets</t>
  </si>
  <si>
    <t>WISDM; MotionSense; MHEALTH</t>
  </si>
  <si>
    <t>96.75% (WISDM); 97.73% (MotionSense); 99.76% (MHEALTH)</t>
  </si>
  <si>
    <t>41.31 ms (WISDM); 46.37 ms (MotionSense); 51.57 ms (MHEALTH)</t>
  </si>
  <si>
    <t>43.78 KB (WISDM); 47.16 KB (MotionSense); 51.30 KB (MHEALTH)</t>
  </si>
  <si>
    <t>No FL, no DP; no cloud processing required</t>
  </si>
  <si>
    <t>https://ieeexplore-ieee-org.aus.idm.oclc.org/stamp/stamp.jsp?tp=&amp;arnumber=11275822</t>
  </si>
  <si>
    <t>Lightweight hybrid architecture using depthwise separable CNN + single-head Linformer; achieves high F1 without quantization or pruning; flash usage &lt;52 KB; RAM usage 30.12 KB; inference &lt;52 ms on STM32F446RE; demonstrates strong accuracy–efficiency balance without compression</t>
  </si>
  <si>
    <t>TinyML-based HAR framework implemented on STM32 MCU, reporting inference latency, memory footprint, and model size, demonstrating feasibility of real-time on-device activity recognition.”</t>
  </si>
  <si>
    <t>T0018</t>
  </si>
  <si>
    <t>penner_tinyml_2023</t>
  </si>
  <si>
    <t>10.1109/BSN58485.2023.10330937</t>
  </si>
  <si>
    <t>IEEE 19th International Conference on Body Sensor Networks (BSN)</t>
  </si>
  <si>
    <t>TinyML optimization for activity classification on the resource-constrained body sensor BI-Vital</t>
  </si>
  <si>
    <t>Kevin Penner; Felix Wittenfeld; Bastian Steinhagen; Marc Hesse; Ulrich Rückert</t>
  </si>
  <si>
    <t>50 (UCI-HAR dataset assumption)</t>
  </si>
  <si>
    <t>128-sample window (~2.56 s at 50 Hz; inferred from energy calculation section)</t>
  </si>
  <si>
    <t>STM32L476RG (ARM Cortex-M4)</t>
  </si>
  <si>
    <t>TensorFlow Lite Micro; scikit-learn (ported via third-party tools)</t>
  </si>
  <si>
    <t>Optional (evaluated for MLP and CNN)</t>
  </si>
  <si>
    <t>UCI-HAR dataset</t>
  </si>
  <si>
    <t>Efficiency Score (E)</t>
  </si>
  <si>
    <t>Best models selected by minimizing E (weighted flash, RAM, latency, accuracy)</t>
  </si>
  <si>
    <t>1.92–61.29 ms (model dependent; MLP fastest ~1.92 ms; CNN ~59–61 ms)</t>
  </si>
  <si>
    <t>Derived from power model (energy depends on update frequency; DT lowest power ~7.45 mW @50 Hz; ~0.06 mW @0.4 Hz scenario)</t>
  </si>
  <si>
    <t>7.45–14.60 mW (model dependent; Table III)</t>
  </si>
  <si>
    <t>~242–292 KB (model dependent; best MLP: 245.07 KB; DT: 285.90 KB)</t>
  </si>
  <si>
    <t>~16.6–27.69 KB (model dependent)</t>
  </si>
  <si>
    <t>~60–8686 parameters depending on model; CNN up to ~242 KB flash</t>
  </si>
  <si>
    <t>No FL/DP; BLE connectivity; focus on local inference + resource optimization</t>
  </si>
  <si>
    <t>https://ieeexplore-ieee-org.aus.idm.oclc.org/stamp/stamp.jsp?tp=&amp;arnumber=10330937</t>
  </si>
  <si>
    <t>Hardware-in-the-loop optimization framework; introduces efficiency score E balancing flash, RAM, latency, and accuracy; compares classical ML vs CNN under MCU constraints; shows DT lowest power, MLP best trade-off; CNN limited by inference time; integrates TinyML into producer-consumer software architecture on STM32-based wearable</t>
  </si>
  <si>
    <t>TinyML-based HAR on wearable MCU (BI-Vital sensor) with hardware-in-the-loop optimization; reports inference time, memory usage, and power consumption, supporting real-world on-device deployment.</t>
  </si>
  <si>
    <t>T0019</t>
  </si>
  <si>
    <t>shalby_dendron_2025</t>
  </si>
  <si>
    <t>10.1109/CIES64955.2025.11007628</t>
  </si>
  <si>
    <t>IEEE Symposium on Computational Intelligence on Engineering/Cyber Physical Systems (CIES)</t>
  </si>
  <si>
    <t>Dendron: Enhancing Human Activity Recognition With on-Device TinyML Learning</t>
  </si>
  <si>
    <t>Hazem Hesham Yousef Shalby; Manuel Roveri</t>
  </si>
  <si>
    <t>26 Hz (UCA-EHAR); 50 Hz (UCI-HAPT)</t>
  </si>
  <si>
    <t>2 s (UCA-EHAR); 2.56 s (UCI-HAPT)</t>
  </si>
  <si>
    <t>STM32-NUCLEO-F401RE (ARM Cortex-M4)</t>
  </si>
  <si>
    <t>Custom TinyML implementation (CNN-based; C deployment)</t>
  </si>
  <si>
    <t>Dendron</t>
  </si>
  <si>
    <t>UCA-EHAR; UCI-HAPT</t>
  </si>
  <si>
    <t>0.77 (UCA-EHAR); 0.91 (UCI-HAPT) (off-device baseline comparison)</t>
  </si>
  <si>
    <t>≈47 ms inference (STM32-NUCLEO-F401RE)</t>
  </si>
  <si>
    <t>≈67 KiB (Dendron inference memory)</t>
  </si>
  <si>
    <t xml:space="preserve">≈67 KiB (total inference memory footprint reported) </t>
  </si>
  <si>
    <t>≈67 KiB total (feature extractor + FC modules)</t>
  </si>
  <si>
    <t>Learning and inference fully local; no cloud processing required</t>
  </si>
  <si>
    <t>https://ieeexplore-ieee-org.aus.idm.oclc.org/stamp/stamp.jsp?tp=&amp;arnumber=11007628</t>
  </si>
  <si>
    <t>Novel hierarchical TinyML architecture with shared feature extractor; supports on-device addition of new HAR tasks with limited supervised data; 5× less memory and 2× less latency vs hierarchical baseline; 8-byte overhead for incremental learning; unified training process; evaluated on UCA-EHAR and UCI-HAPT datasets</t>
  </si>
  <si>
    <t>On-device TinyML HAR with adaptive learning; reports efficiency metrics and supports privacy-preserving deployment.</t>
  </si>
  <si>
    <t>T0020</t>
  </si>
  <si>
    <t>shin_graph_2025</t>
  </si>
  <si>
    <t>10.1109/ACCESS.2025.3635398</t>
  </si>
  <si>
    <t>IEEE Access</t>
  </si>
  <si>
    <t>Graph Neural Network Compression via Cross-Modal Distillation for On-Device mmWave Human Activity Recognition</t>
  </si>
  <si>
    <t>Kihun Shin; Jaebong Lim; Yunju Baek</t>
  </si>
  <si>
    <t>RF / Radar / Proximity</t>
  </si>
  <si>
    <t>RF / Radar</t>
  </si>
  <si>
    <t xml:space="preserve">NA </t>
  </si>
  <si>
    <t>Commercial MCU (specific model referenced in deployment section; meets SRAM constraints)</t>
  </si>
  <si>
    <t>PyTorch (training); Post-training quantization; C deployment to MCU</t>
  </si>
  <si>
    <t>Lightweight ST-GCN (student model via cross-modal distillation)</t>
  </si>
  <si>
    <t>YES (post-training quantization)</t>
  </si>
  <si>
    <t>Structural simplification (residual removal)</t>
  </si>
  <si>
    <t>YES (cross-modal knowledge distillation from skeleton-based teacher)</t>
  </si>
  <si>
    <t>DGUHA; MilliPoint</t>
  </si>
  <si>
    <t>7.46% improvement (DGUHA); +7.89% improvement (MilliPoint) vs baseline student</t>
  </si>
  <si>
    <t>Real-time inference demonstrated on MCU (exact ms reported in deployment section)</t>
  </si>
  <si>
    <t>Peak memory reduced to meet MCU SRAM limit (exact value specified in deployment section)</t>
  </si>
  <si>
    <t>Uses privacy-preserving mmWave radar instead of vision; no camera; inference fully on-device</t>
  </si>
  <si>
    <t>https://ieeexplore-ieee-org.aus.idm.oclc.org/stamp/stamp.jsp?tp=&amp;arnumber=11261518</t>
  </si>
  <si>
    <t>Proposes cross-modal distillation from skeleton joint teacher to mmWave student; lightweight ST-GCN with architectural tuning; residual removal; post-training quantization; peak memory drastically reduced to meet MCU SRAM; demonstrates practical deployment of graph neural network on commercial MCU; strong privacy-oriented HAR via radar sensing</t>
  </si>
  <si>
    <t>Compressed GNN for on-device HAR with reported accuracy and model size improvements.</t>
  </si>
  <si>
    <t>T0021</t>
  </si>
  <si>
    <t>Bartoli2025_BenchmarkingEnergyLatencyTinyML</t>
  </si>
  <si>
    <t>10.1109/IJCNN64981.2025.11228997</t>
  </si>
  <si>
    <t>IEEE</t>
  </si>
  <si>
    <t>Benchmarking Energy and Latency in TinyML: A Novel Method for Resource-Constrained AI</t>
  </si>
  <si>
    <t>Pietro Bartoli; Christian Veronesi; Andrea Giudici; David Siorpaes; Diana Trojaniello; Franco Zappa</t>
  </si>
  <si>
    <t>General / Benchmarking</t>
  </si>
  <si>
    <t>Benchmarking</t>
  </si>
  <si>
    <t>Performance Evaluation</t>
  </si>
  <si>
    <t>STM32N6 (STM32N6570-DK)</t>
  </si>
  <si>
    <t>Convolutional NPU (0.6 TOPS at 1 GHz)</t>
  </si>
  <si>
    <t>Not specified</t>
  </si>
  <si>
    <t>DS-CNN; MobileNet; ResNet-8; Deep Autoencoder</t>
  </si>
  <si>
    <t>Google Speech Commands; Visual Wake Word; CIFAR10; Toy Admos</t>
  </si>
  <si>
    <t>Average total EDP reduction</t>
  </si>
  <si>
    <t>25.5% reduction</t>
  </si>
  <si>
    <t>H-Perf total latency range across models = 1.5864–2.9253 ms (converted from Table V total latency in µs). L-Perf total latency range across models = 1.6190–3.0791 ms (converted from Table V).</t>
  </si>
  <si>
    <t>H-Perf total energy range across models = 0.2161–0.4439 mJ (converted from Table IV total energy in µJ). L-Perf total energy range across models = 0.1536–0.3314 mJ (converted from Table IV).</t>
  </si>
  <si>
    <t>Not reported as a summary metric (paper defines power computation method, but tables report energy and latency)</t>
  </si>
  <si>
    <t>Up to 4.2 MBytes internal RAM (device spec)</t>
  </si>
  <si>
    <t>Laboratory setup</t>
  </si>
  <si>
    <t>https://ieeexplore.ieee.org/abstract/document/11228997?casa_token=d8dkyKdaNDAAAAAA:OMW0bg7kNp6ORHaVSpJI7NA_sqTdEqZn3fmLwXrLrtOrqPUQWRKto0vwCv3QaAwDmd9Ce66qdA</t>
  </si>
  <si>
    <t>Phase separation via dual GPIO triggers; measurements averaged over 1000 acquisitions; H-Perf and L-Perf configurations</t>
  </si>
  <si>
    <t>Proposes TinyML benchmarking methodology with detailed energy/latency measurement on MCU (STM32) and uses standard datasets (MLPerf tasks)</t>
  </si>
  <si>
    <t>C06</t>
  </si>
  <si>
    <t>T0022</t>
  </si>
  <si>
    <t>Banbury2021TinyMLBench</t>
  </si>
  <si>
    <t>https://arxiv.org/abs/2003.04821</t>
  </si>
  <si>
    <t>arXiv</t>
  </si>
  <si>
    <t>Benchmarking TinyML Systems Challenges and Direction</t>
  </si>
  <si>
    <t>Banbury et al.</t>
  </si>
  <si>
    <t>Generic Edge / IoT</t>
  </si>
  <si>
    <t>BenchmarkingFramework</t>
  </si>
  <si>
    <t>Arm Cortex-M RISC-V and specialized TinyML hardware</t>
  </si>
  <si>
    <t>Specialized inference engines possible</t>
  </si>
  <si>
    <t>TensorFlow Lite Micro CMSIS-NN code generation and hand coding discussed</t>
  </si>
  <si>
    <t>DS-CNN ResNet8 Deep Autoencoder MobileNetV1</t>
  </si>
  <si>
    <t>Multiple precision levels supported</t>
  </si>
  <si>
    <t>Speech Commands CIFAR10 ToyADMOS Visual Wake Words datasets</t>
  </si>
  <si>
    <t>Speech Commands CIFAR10 ToyADMOS Visual Wake Words</t>
  </si>
  <si>
    <t>Latency and optional energy</t>
  </si>
  <si>
    <t>Measured but not fixed</t>
  </si>
  <si>
    <t>Optional measurement</t>
  </si>
  <si>
    <t>Ultra-low-power ~1mW range discussed</t>
  </si>
  <si>
    <t>Foundational TinyML benchmarking paper defining datasets, use cases, and evaluation challenges; directly relevant to benchmarking frameworks</t>
  </si>
  <si>
    <t>Introduces the Speech Commands dataset, one of the most widely used benchmark datasets for TinyML keyword spotting. Provides baseline models and public checkpoints, allowing cross-paper comparability and hardware benchmarking. Published in 2018 and falls outside the 2020+ recency window</t>
  </si>
  <si>
    <t>T0023</t>
  </si>
  <si>
    <t>Hanna2022WiSig</t>
  </si>
  <si>
    <t>10.1109/ACCESS.2022.3154790</t>
  </si>
  <si>
    <t>WiSig: A Large-Scale WiFi Signal Dataset for Receiver and Channel Agnostic RF Fingerprinting</t>
  </si>
  <si>
    <t>Samer Hanna; Samurdhi Karunaratne; Danijela Cabric</t>
  </si>
  <si>
    <t>SmartBuilding</t>
  </si>
  <si>
    <t>RFFingerprinting</t>
  </si>
  <si>
    <t>TransmitterIdentification</t>
  </si>
  <si>
    <t>Testbed / Virtualized</t>
  </si>
  <si>
    <t>Atheros 5212/9220/9280/9580; USRP B210/X310/N210</t>
  </si>
  <si>
    <t>None</t>
  </si>
  <si>
    <t>AlwaysConnected</t>
  </si>
  <si>
    <t>MATLAB WLAN Toolbox</t>
  </si>
  <si>
    <t>5-Layer CNN</t>
  </si>
  <si>
    <t>Not Specified</t>
  </si>
  <si>
    <t>WiSig Dataset</t>
  </si>
  <si>
    <t>WiSig</t>
  </si>
  <si>
    <t>174 Transmitters; 41 Receivers; 4 Days</t>
  </si>
  <si>
    <t>Classification Accuracy</t>
  </si>
  <si>
    <t>Up to 99 Percent (Same Day Evaluation)</t>
  </si>
  <si>
    <t>https://ieeexplore.ieee.org/abstract/document/9721895</t>
  </si>
  <si>
    <t>This paper introduces WiSig, a publicly available, large-scale RF signal dataset mainly used in the context of wireless IoT. It is explicitly a benchmark dataset paper and allows generalization across receivers and days.
It includes dataset splits and analysis of imbalance also.</t>
  </si>
  <si>
    <t>Large-scale publicly available RF signal dataset (WiSig) with detailed benchmarking setup, multiple receivers/days, and evaluation protocols suitable for reproducible research in wireless ML and TinyML contexts</t>
  </si>
  <si>
    <t>C04, C06</t>
  </si>
  <si>
    <t>Medium; Low</t>
  </si>
  <si>
    <t>T0024</t>
  </si>
  <si>
    <t>Zachos2021IoTEdge</t>
  </si>
  <si>
    <t>10.1109/CAMAD52502.2021.9617799</t>
  </si>
  <si>
    <t>IEEE CAMAD</t>
  </si>
  <si>
    <t>Generating IoT Edge Network Datasets based on the TON IoT Telemetry Dataset</t>
  </si>
  <si>
    <t>Zachos et al.</t>
  </si>
  <si>
    <t>Hybrid Edge + Cloud</t>
  </si>
  <si>
    <t>DatasetGeneration</t>
  </si>
  <si>
    <t>Tabular / Network</t>
  </si>
  <si>
    <t>CSV Processing and Subsampling Algorithms</t>
  </si>
  <si>
    <t>TON IoT Telemetry Processed Network</t>
  </si>
  <si>
    <t>IoT Edge Network Initial; IoT Edge Network Balanced</t>
  </si>
  <si>
    <t>084 records in initial dataset; 80</t>
  </si>
  <si>
    <t>002 records in balanced dataset</t>
  </si>
  <si>
    <t>Class Distribution Balancing</t>
  </si>
  <si>
    <t>Reduction of Imbalance between Normal and Attack Classes</t>
  </si>
  <si>
    <t>None Reported</t>
  </si>
  <si>
    <t>https://ieeexplore.ieee.org/abstract/document/9617799?casa_token=XON4L9gADgAAAAAA:48-iJGiA8M6_Z9xWALaI7hkNorX68NnX8ZHcGgmuaXO1x1C7UAk40wLqc02Wg3fOp1iTvfMT0g</t>
  </si>
  <si>
    <t>It contributes dataset restructuring methodology and  improves benchmark usability by class balancing. It documents dataset splits and also addresses dataset quality issues (imbalance).</t>
  </si>
  <si>
    <t>Provides IoT dataset generation and restructuring methodology (TON_IoT-based), including class balancing and improved benchmark usability with documented splits and quality handling</t>
  </si>
  <si>
    <t>Medium</t>
  </si>
  <si>
    <t>T0025</t>
  </si>
  <si>
    <t>Sudharsan2021TinyMLBenchmark</t>
  </si>
  <si>
    <t>10.1109/WF-IoT51360.2021.9595024</t>
  </si>
  <si>
    <t>IEEE WF-IoT</t>
  </si>
  <si>
    <t>TinyML Benchmark Executing Fully Connected Neural Networks on Commodity Microcontrollers`</t>
  </si>
  <si>
    <t>Sudharsan et al.</t>
  </si>
  <si>
    <t>Cortex-M7 Cortex-M4 Cortex-M0+ Xtensa LX6</t>
  </si>
  <si>
    <t>FC 1x10; FC 10+50; FC 10x10</t>
  </si>
  <si>
    <t>Iris; Wine; Vowel; Silhouettes; Anuran Calls; Breast Cancer; Texture; Drive Diagnosis; MNIST Digits; Human Activity</t>
  </si>
  <si>
    <t>Multiple small ML datasets</t>
  </si>
  <si>
    <t>7 MCU boards</t>
  </si>
  <si>
    <t>Inference Time (microseconds)</t>
  </si>
  <si>
    <t>3.14 microseconds fastest (Teensy 4.0 FC1x10); up to 2801.82 microseconds slowest (Raspberry Pi Pico FC10x10)</t>
  </si>
  <si>
    <t>Reported per board and model</t>
  </si>
  <si>
    <t>Not reported</t>
  </si>
  <si>
    <t>Flash and SRAM usage reported</t>
  </si>
  <si>
    <t>SRAM usage reported</t>
  </si>
  <si>
    <t>https://ieeexplore.ieee.org/abstract/document/9595024?casa_token=l1aVnDP7c_EAAAAA:SK8LTsrc-clL1yCZtskr8tbUXB9ubNozuUmAJ8tzmsMHslqC96GpKbOqAXmbMJQdB-ZlwwcB0A</t>
  </si>
  <si>
    <t>Provides systematic benchmarking across 7 MCU boards. Evaluates inference latency, SRAM, Flash memory, and compilation time. Uses standardized NN architectures across multiple datasets. Focus is hardware-level benchmarking, not dataset design.</t>
  </si>
  <si>
    <t>TinyML benchmarking across multiple MCUs with datasets, reporting latency, memory, and accuracy; includes open benchmark suite for reproducible IoT edge evaluation</t>
  </si>
  <si>
    <t>T0026</t>
  </si>
  <si>
    <t>Quadar2026TinyMLDatasets6G</t>
  </si>
  <si>
    <t>10.1109/MCE.2026.3661726</t>
  </si>
  <si>
    <t>IEEE Consumer Electronics Magazine</t>
  </si>
  <si>
    <t>TinyML Dataset Challenges in Enabling Scalable Intelligence for 6G Consumer Electronics</t>
  </si>
  <si>
    <t>Nordine Quadar; Abdellah Chehri; Benoit Debaque</t>
  </si>
  <si>
    <t>DatasetAnalysis</t>
  </si>
  <si>
    <t>30 publicly available datasets across six domains</t>
  </si>
  <si>
    <t>WiSIG; UAV-8; UAV-17; LoRa-60; GLOBECOM22; ACM WiSec21; Google Speech Commands; TinySpeech; Visual Wake Words; Omniglot; CelebA; UCIHAR; WISDM; PAMAP2; MHEALTH; MIT-BIH; PTB; COSINE; KU Leuven LTE; RICE Full-Duplex; NIST Industrial; RadioML 2016.04C; RadioML 2016.10A; RadioML 2018.01A; RTR Netztest; Bundesnetzagentur; OpenSignal; Deep Verse 6G; BUPTCMCC-6G; 6G-NTN</t>
  </si>
  <si>
    <t>30 datasets</t>
  </si>
  <si>
    <t>Dataset-centered benchmarking and gap analysis</t>
  </si>
  <si>
    <t>30 publicly available datasets selected for systematic benchmarking and analysis</t>
  </si>
  <si>
    <t>https://ieeexplore.ieee.org/abstract/document/11373387</t>
  </si>
  <si>
    <t>PRISMA-style selection flow; evaluates datasets along computational compatibility, architectural relevance to 6G, technical depth, and deployment feasibility; highlights gaps in protocol diversity, realism, and scalability</t>
  </si>
  <si>
    <t>Proposes TinyMLPerf, a standardized benchmarking suite for MCU-class TinyML systems. It mainly defines four benchmark tasks (audio wake words, visual wake words, image classification, anomaly detection) also estabilishes a structured evaluation strategy.</t>
  </si>
  <si>
    <t>T0027</t>
  </si>
  <si>
    <t>pandkar_optimizing_2026</t>
  </si>
  <si>
    <t>10.1016/j.rineng.2026.109107</t>
  </si>
  <si>
    <t>Results in Engineering</t>
  </si>
  <si>
    <t>Optimizing room occupancy estimation on the edge: A TinyML and sensor network approach</t>
  </si>
  <si>
    <t>Mehal Pandkar, Shashank Nambiar, Ayush Sinha, Prachi Sharma</t>
  </si>
  <si>
    <t>Smart Building</t>
  </si>
  <si>
    <t>ESP32</t>
  </si>
  <si>
    <t>micromlgen</t>
  </si>
  <si>
    <t>Random Forest Regressor</t>
  </si>
  <si>
    <t>Custom collected (4 days)</t>
  </si>
  <si>
    <t>Custom occupancy dataset</t>
  </si>
  <si>
    <t>R^2</t>
  </si>
  <si>
    <t>~1175 KB (1.175 MB)</t>
  </si>
  <si>
    <t>Privacy-friendly sensing</t>
  </si>
  <si>
    <t xml:space="preserve"> Yes (4-day live deployment)</t>
  </si>
  <si>
    <t>https://www.sciencedirect.com/science/article/pii/S2590123026001507</t>
  </si>
  <si>
    <t>Real on-device TinyML deployment on an ESP32 microcontroller for room occupancy estimation. Includes hardware setup, sensor details, and deployment methodology.</t>
  </si>
  <si>
    <t>Edge-deployed TinyML system for smart building energy management, with on-device inference and reporting of key metrics including accuracy, latency, and model footprint, demonstrating feasibility on resource-constrained IoT hardware.</t>
  </si>
  <si>
    <t>C05</t>
  </si>
  <si>
    <t>T0028</t>
  </si>
  <si>
    <t>varte_low-cost_2025</t>
  </si>
  <si>
    <t xml:space="preserve">10.55248/gengpi.6.0725.2708
</t>
  </si>
  <si>
    <t>International Journal of Research Publication and Reviews</t>
  </si>
  <si>
    <t>Low-Cost Wi-Fi Sensing: Challenges, Advances, and a Framework for Edge Deployment</t>
  </si>
  <si>
    <t>Nelson R Varte, Bornali Gogoi</t>
  </si>
  <si>
    <t>Classification</t>
  </si>
  <si>
    <t>2 seconds (100 samples )</t>
  </si>
  <si>
    <t>scikit-learn (training), Edge Impulse (deployment)</t>
  </si>
  <si>
    <t>Decision Tree (Max depth=3)</t>
  </si>
  <si>
    <t>Self-collected RSSI dataset (CSV format, timestamped)</t>
  </si>
  <si>
    <t>Custom RSSI intrusion dataset</t>
  </si>
  <si>
    <t>&lt; 200 ms</t>
  </si>
  <si>
    <t>~120 mW</t>
  </si>
  <si>
    <t>Privacy-aware design (explicitly mentioned)</t>
  </si>
  <si>
    <t>Yes (real room deployment</t>
  </si>
  <si>
    <t>https://www.researchgate.net/publication/394618606_Low-Cost_Wi-Fi_Sensing_Challenges_Advances_and_a_Framework_for_Edge_Deployment</t>
  </si>
  <si>
    <t>Reports real ESP32 microcontroller deployment with on-device ML inference. Demonstrates quantized Decision Tree deployed via Edge Impulse on MCU-class hardware.</t>
  </si>
  <si>
    <t>Includes ESP32-based TinyML intrusion detection prototype with on-device inference, reporting accuracy, latency (&lt;200 ms), and power (~120 mW); however, main contribution is a survey and conceptual framework rather than a rigorous benchmarking or system study.</t>
  </si>
  <si>
    <t>T0029</t>
  </si>
  <si>
    <t>papaioannou_ultra-low-power_2023</t>
  </si>
  <si>
    <t xml:space="preserve"> 10.1145/3582433</t>
  </si>
  <si>
    <t>ACM TECS</t>
  </si>
  <si>
    <t>An Ultra-low-power Embedded AI Fire Detection and Crowd Counting System for Indoor Areas</t>
  </si>
  <si>
    <t>Alexios Papaioannou, Charalampos S. Kouzinopoulos, Dimosthenis Ioannidis, Dimitrios Tzovaras</t>
  </si>
  <si>
    <t>ARM Cortex-M4</t>
  </si>
  <si>
    <t>Custom CNN</t>
  </si>
  <si>
    <t xml:space="preserve"> Yes (8-bit QAT)</t>
  </si>
  <si>
    <t>Yes (YOLO compression)</t>
  </si>
  <si>
    <t>Custom fire and crowd dataset</t>
  </si>
  <si>
    <t>Custom Dataset</t>
  </si>
  <si>
    <t xml:space="preserve"> Accuracy</t>
  </si>
  <si>
    <t xml:space="preserve"> Ultra-low power</t>
  </si>
  <si>
    <t>~2 months</t>
  </si>
  <si>
    <t>1024 KB</t>
  </si>
  <si>
    <t>320 KB</t>
  </si>
  <si>
    <t>https://dl-acm-org.aus.idm.oclc.org/doi/pdf/10.1145/3582433</t>
  </si>
  <si>
    <t>Fire detection and occupancy monitoring. MCU-class deployment on ARM Cortex-M4. Ultra-low-power embedded deployment with full energy breakdown and quantized TFLM implementation.</t>
  </si>
  <si>
    <t>Ultra-low-power embedded smart-building safety system implemented on STM32L496, combining fire detection and crowd counting with on-device MLP and lightweight YOLOv5; reports accuracy, energy, execution time, and model size under embedded constraints.</t>
  </si>
  <si>
    <t>T0030</t>
  </si>
  <si>
    <t>atanane_smart_2023</t>
  </si>
  <si>
    <t>10.3390/s23229210</t>
  </si>
  <si>
    <t>Smart Buildings: Water Leakage Detection Using TinyML</t>
  </si>
  <si>
    <t>Othmane Atanane, Asmaa Mourhir, Nabil Benamar and Marco Zennaro</t>
  </si>
  <si>
    <t>Arduino Nano 33 BLE</t>
  </si>
  <si>
    <t>EfficientNet</t>
  </si>
  <si>
    <t>Yes (int8)</t>
  </si>
  <si>
    <t>Acoustic dataset</t>
  </si>
  <si>
    <t>Dataset for Leakage Detection Index method</t>
  </si>
  <si>
    <t>Experimental pipeline testbed</t>
  </si>
  <si>
    <t>https://www.mdpi.com/1424-8220/23/22/9210</t>
  </si>
  <si>
    <t xml:space="preserve">Sensors 2023. Transfer learning applied to CNNs. Compressed model deployed on Arduino Nano 33 BLE, all key metrics reported. </t>
  </si>
  <si>
    <t>Smart-building water leakage detection using TinyML, with transfer-learned CNNs compressed and deployed on Arduino Nano 33 BLE; reports classification accuracy, inference time, peak RAM usage, and flash footprint for on-device operation.</t>
  </si>
  <si>
    <t>C05;C04</t>
  </si>
  <si>
    <t>T0037</t>
  </si>
  <si>
    <t>wardana_tinyml_2023</t>
  </si>
  <si>
    <t>10.1109/LSENS.2023.3315249</t>
  </si>
  <si>
    <t>IEEE Sensors Letters</t>
  </si>
  <si>
    <t>TinyML Models for a Low-Cost Air Quality Monitoring Device</t>
  </si>
  <si>
    <t>Wardana, I Nyoman Kusuma and Fahmy, Suhaib A. and Gardner, Julian W.</t>
  </si>
  <si>
    <t>6 hours (36 samples for imputer, 6 samples for predictor)</t>
  </si>
  <si>
    <t>none</t>
  </si>
  <si>
    <t>none (local inference, no radio specified)</t>
  </si>
  <si>
    <t>2D CNN (predictor) + Denoising Autoencoder (imputer)</t>
  </si>
  <si>
    <t>integer with float fallback</t>
  </si>
  <si>
    <t>supervised + unsupervised (autoencoder)</t>
  </si>
  <si>
    <t>custom (3 months, July-Oct 2022)</t>
  </si>
  <si>
    <t>no</t>
  </si>
  <si>
    <t>0.90 (humidity prediction)</t>
  </si>
  <si>
    <t>264 (SRAM) + 2048 (Flash)</t>
  </si>
  <si>
    <t>~48-61 (quantized)</t>
  </si>
  <si>
    <t>none (local processing only)</t>
  </si>
  <si>
    <t>yes (3-month field deployment)</t>
  </si>
  <si>
    <t>https://ieeexplore-ieee-org.aus.idm.oclc.org/document/10251587</t>
  </si>
  <si>
    <t>TinyML air quality node on RP2040 (Cortex-M0+); reports model size (~10–24 KB) but no inference latency or energy measurements. SmartCity environmental sensing context.</t>
  </si>
  <si>
    <t>T0038</t>
  </si>
  <si>
    <t>asutkar_tinyml-enabled_2023</t>
  </si>
  <si>
    <t>10.1016/j.eswa.2022.119016</t>
  </si>
  <si>
    <t>Expert Systems with Applications</t>
  </si>
  <si>
    <t>TinyML-enabled edge implementation of transfer learning framework for domain generalization in machine fault diagnosis</t>
  </si>
  <si>
    <t>Supriya Asutkar, Chaitravi Chalke, Kajal Shivgan, Siddharth Tallur</t>
  </si>
  <si>
    <t>Hybrid Edge + SBC</t>
  </si>
  <si>
    <t>DomainGeneralization</t>
  </si>
  <si>
    <t>20000 (IMS) 26700 (LPS)</t>
  </si>
  <si>
    <t>~1.0</t>
  </si>
  <si>
    <t>MCU + SBC</t>
  </si>
  <si>
    <t>Training Raspberry Pi 4B Inference ESP32</t>
  </si>
  <si>
    <t>TensorFlow TensorFlow Lite</t>
  </si>
  <si>
    <t>Custom lightweight CNN</t>
  </si>
  <si>
    <t>Yes (via TFLite)</t>
  </si>
  <si>
    <t>CWRU (source) + IMS-LPS (target)</t>
  </si>
  <si>
    <t>CWRU - Case Western Reserve University Bearing Dataset, IMS - IMS Bearing Dataset (Center for Intelligent Maintenance Systems, University of Cincinnati), LPS - Lab-generated Lower Precision Sensor Dataset (self-collected)</t>
  </si>
  <si>
    <t>Accuracy F1 Score</t>
  </si>
  <si>
    <t>Up to 100% (same domain) ~99% (with transfer learning)</t>
  </si>
  <si>
    <t>700 (inference on ESP32)</t>
  </si>
  <si>
    <t>4000 (ESP32 flash)</t>
  </si>
  <si>
    <t>267 (inference RAM)</t>
  </si>
  <si>
    <t>~10</t>
  </si>
  <si>
    <t xml:space="preserve">https://www.sciencedirect.com/science/article/abs/pii/S0957417422020346
</t>
  </si>
  <si>
    <t>Passes criteria. Validates edge inference directly on a physical ESP32 microcontroller board.</t>
  </si>
  <si>
    <t>Transfer learning + CNN for fault diagnosis in machines.. Pre-trained model with full inference on ESP32 MCU. Very good experimental paper that discusses multiple ablations and reports metrics including memory consumption, accuracy, and device specification.</t>
  </si>
  <si>
    <t>C04 ; C01</t>
  </si>
  <si>
    <t>High; High</t>
  </si>
  <si>
    <t>T0040</t>
  </si>
  <si>
    <t>lima_real-time_2025</t>
  </si>
  <si>
    <t>10.1109/LCIoT64881.2025.11118459</t>
  </si>
  <si>
    <t>IEEE Latin Conference on IoT</t>
  </si>
  <si>
    <t>Real-Time Fault Detection in Induction Motors Using TinyML: An Evaluation of the Edge Impulse Platform</t>
  </si>
  <si>
    <t>João Pedro B Lima</t>
  </si>
  <si>
    <t>ANN</t>
  </si>
  <si>
    <t>Yes (Edge Impulse quantization)</t>
  </si>
  <si>
    <t>Self-collected (vibration data from motor casing)</t>
  </si>
  <si>
    <t>98.6% (4 broken bars) 95.8% (1 broken bar)</t>
  </si>
  <si>
    <t>1 ms (with quantization)</t>
  </si>
  <si>
    <t>256 KB (Arduino flash)</t>
  </si>
  <si>
    <t>Small (optimized for MCU)</t>
  </si>
  <si>
    <t>https://ieeexplore.ieee.org/document/11118459</t>
  </si>
  <si>
    <t>Edge Impulse software trap! The paper evaluates the platform workflow and relies on the dashboard estimations for the 1 ms latency instead of providing measured, physical hardware metrics.</t>
  </si>
  <si>
    <t>"Neural network for induction motor fault detection deployed on Arduino Nano 33 BLE
with the nRF52840 MCU. Even if we ignore latency, the paper still reports multiple important metrics that measure performance and resource usage. Definitely include. "</t>
  </si>
  <si>
    <t>T0041</t>
  </si>
  <si>
    <t>langer_tinyml_2025</t>
  </si>
  <si>
    <t>10.48550/arXiv.2508.16553</t>
  </si>
  <si>
    <t>TinyML Towards Industry 4.0: Resource-Efficient Process Monitoring of a Milling Machine</t>
  </si>
  <si>
    <t>Tim Langer, Matthias Widra, Volkhard Beyer</t>
  </si>
  <si>
    <t>ARM Cortex M4F (STM32L4R5ZI)</t>
  </si>
  <si>
    <t>TensorFlow Lite STM32Cube.AI</t>
  </si>
  <si>
    <t>Yes (INT8 post-training quantization)</t>
  </si>
  <si>
    <t>MillingVibes (self-collected)</t>
  </si>
  <si>
    <t>MillingVibes</t>
  </si>
  <si>
    <t>Accuracy F1-score</t>
  </si>
  <si>
    <t>100.0% accuracy</t>
  </si>
  <si>
    <t>15.4 ms (CNN only) 84.5 ms (total)</t>
  </si>
  <si>
    <t>1.462 mJ (CNN only) 8.022 mJ (total)</t>
  </si>
  <si>
    <t>94.9 mW</t>
  </si>
  <si>
    <t>2000 (total flash) 51.34 (CNN related)</t>
  </si>
  <si>
    <t>640 (total RAM) 12.09 (CNN related)</t>
  </si>
  <si>
    <t>12.59 kiB (parameters)</t>
  </si>
  <si>
    <t xml:space="preserve">https://arxiv.org/abs/2508.16553
</t>
  </si>
  <si>
    <t>Gold standard TinyML paper. Deployed on an ARM Cortex M4F, explicitly reporting 15.4 ms latency, 1.462 mJ energy, and 12.59 kiB memory.</t>
  </si>
  <si>
    <t xml:space="preserve">Milling machine monitoring using the ARM Cortex M4F. Reports necessary metrics including latency + energy and memory consumption. </t>
  </si>
  <si>
    <t>T0042</t>
  </si>
  <si>
    <t>el_barkani_gas_2024</t>
  </si>
  <si>
    <t>10.3390/electronics13234768</t>
  </si>
  <si>
    <t>Electronics</t>
  </si>
  <si>
    <t>Gas Leakage Detection Using Tiny Machine Learning</t>
  </si>
  <si>
    <t>El Barkani, Majda and Benamar, Nabil and Talei, Hanae and Bagaa, Miloud</t>
  </si>
  <si>
    <t>Thermal / Infrared</t>
  </si>
  <si>
    <t>Thermal</t>
  </si>
  <si>
    <t>Arduino Nano 33 BLE Sense (ARM Cortex-M4F 64 MHz)</t>
  </si>
  <si>
    <t>Edge Impulse SDK + Arduino IDE + exported C++ library</t>
  </si>
  <si>
    <t>MobileNetV1 96x96 0.25 and EfficientNet-B0</t>
  </si>
  <si>
    <t>post-training INT8</t>
  </si>
  <si>
    <t>public</t>
  </si>
  <si>
    <t>MultimodalGasData (thermal subset)</t>
  </si>
  <si>
    <t>reduces cloud transmission and privacy exposure; no explicit security mechanism reported</t>
  </si>
  <si>
    <t>Solid TinyML paper. Deploys gas classification on an MCU and properly reports the necessary hardware constraints (latency and memory footprints).</t>
  </si>
  <si>
    <t>TinyML-based gas leakage detection using thermal imaging on Arduino Nano 33 BLE Sense, with quantized MobileNetV1 and EfficientNet-B0 deployed on-device; reports testing accuracy, inference time, peak RAM usage, and flash footprint.</t>
  </si>
  <si>
    <t>T0043</t>
  </si>
  <si>
    <t>chaudhari_joint_2026</t>
  </si>
  <si>
    <t>10.21203/rs.3.rs-8690669/v1</t>
  </si>
  <si>
    <t>Research Square preprint</t>
  </si>
  <si>
    <t>Joint Contactless Temperature, Humidity, and Occupancy Sensing via Wi-Fi Channel State Information on {ESP}32 Nodes</t>
  </si>
  <si>
    <t>Chaudhari, Saurav and Pise, Ketan and Fukate, Dinesh and Gawande, Shantanu</t>
  </si>
  <si>
    <t>ESP32-WROOM-32</t>
  </si>
  <si>
    <t>fixed-point embedded C/C++ + compiled tree model (Treelite-style) + XGBoost</t>
  </si>
  <si>
    <t>shared XGBoost backbone with 3 task-specific heads</t>
  </si>
  <si>
    <t>16-bit fixed-point</t>
  </si>
  <si>
    <t>custom</t>
  </si>
  <si>
    <t>climate chamber CSI dataset + 21-day real-world indoor CSI deployment</t>
  </si>
  <si>
    <t>single TX-RX pair per zone</t>
  </si>
  <si>
    <t>temperature MAE / humidity MAE / occupancy F1</t>
  </si>
  <si>
    <t>0.72 C / 4.6% RH / 95.1% F1</t>
  </si>
  <si>
    <t>&lt;100</t>
  </si>
  <si>
    <t>&lt;80</t>
  </si>
  <si>
    <t>privacy advantage over vision sensing; no explicit security mechanism reported</t>
  </si>
  <si>
    <t>on request</t>
  </si>
  <si>
    <t>(PDF) Joint Contactless Temperature, Humidity, and Occupancy Sensing via Wi-Fi Channel State Information on ESP32 Nodes Joint Contactless Temperature, Humidity, and Occupancy Sensing via Wi-Fi Channel State Information on ESP32 Nodes</t>
  </si>
  <si>
    <t>Passes criteria. Deployed physically on ESP32 nodes and validates the multi-task learning models with actual embedded hardware metrics.</t>
  </si>
  <si>
    <t>ESP32-based smart-building sensing framework that jointly estimates temperature, humidity, and occupancy from Wi-Fi CSI with on-device inference; reports temperature/humidity error, occupancy F1, inference latency (47 ms), and memory footprint (&lt;100 kB flash, &lt;80 kB SRAM).</t>
  </si>
  <si>
    <t>T0044</t>
  </si>
  <si>
    <t>piechocki_efficient_2022</t>
  </si>
  <si>
    <t>10.1109/ACCESS.2022.3225233</t>
  </si>
  <si>
    <t>Efficient People Counting in Thermal Images: The Benchmark of Resource-Constrained Hardware</t>
  </si>
  <si>
    <t>Piechocki, Mateusz and Kraft, Marek and Pajchrowski, Tomasz and Aszkowski, Przemyslaw and Pieczynski, Dominik</t>
  </si>
  <si>
    <t>frame-based</t>
  </si>
  <si>
    <t>Arduino Nano 33 BLE Sense (nRF52840), ESP32-WROOM-32, STM32 F429ZI/H745ZI, Portenta H7, Raspberry Pi 4B</t>
  </si>
  <si>
    <t>Coral USB Edge TPU; Intel NCS2 (for some benchmark targets)</t>
  </si>
  <si>
    <t>TensorFlow, TensorFlow Lite, TensorFlow Lite Micro, OpenVINO, X-CUBE-AI, Edge TPU Compiler</t>
  </si>
  <si>
    <t>optimized U-Net</t>
  </si>
  <si>
    <t>INT8</t>
  </si>
  <si>
    <t>Thermo Presence</t>
  </si>
  <si>
    <t>Counting MAE</t>
  </si>
  <si>
    <t>&lt;=150</t>
  </si>
  <si>
    <t>frames processed onboard and removed from device memory</t>
  </si>
  <si>
    <t>https://github.com/PUTvision/thermo-hardware-benchmark</t>
  </si>
  <si>
    <t>https://ieeexplore.ieee.org/abstract/document/9964383</t>
  </si>
  <si>
    <t>The paper explicitly benchmarks models on various microcontrollers and variants of arduino</t>
  </si>
  <si>
    <t>Smart-building occupancy counting from low-resolution thermal images using a quantized U-Net-like CNN, benchmarked across resource-constrained hardware including Arduino Nano 33 BLE Sense, ESP32, and STM32 platforms; reports counting accuracy, inference time, model size, and power/energy consumption.</t>
  </si>
  <si>
    <t>T0045</t>
  </si>
  <si>
    <t>kapalamula_edge_2025</t>
  </si>
  <si>
    <t>10.1109/IoTaIS67227.2025.11282020</t>
  </si>
  <si>
    <t>2025 IEEE International Conference on Internet of Things and Intelligence Systems (IoTaIS)</t>
  </si>
  <si>
    <t>Edge Intelligence for Fire Disaster Mitigation Using IoT and TinyML</t>
  </si>
  <si>
    <t>Kapalamula, Henry Eric and Issah Mwaisekwa, Ipyana and Mwang’onda, Arthur Nathaniel and Florence Ndhlozi, Nomsa</t>
  </si>
  <si>
    <t>Environmental</t>
  </si>
  <si>
    <t>Edge Impulse dense NN deployment</t>
  </si>
  <si>
    <t>2-hidden-layer TinyML dense neural network</t>
  </si>
  <si>
    <t>INT8 and Float32 compared</t>
  </si>
  <si>
    <t>93-day custom fire/no-fire sensor dataset (30,211 samples)</t>
  </si>
  <si>
    <t>93.35% deployment INT8</t>
  </si>
  <si>
    <t>solar-powered autonomous operation claimed</t>
  </si>
  <si>
    <t>https://ieeexplore.ieee.org/stamp/stamp.jsp?tp=&amp;arnumber=11282020</t>
  </si>
  <si>
    <t>Passes all criteria. Real physical deployment on an Arduino Nano 33 BLE Sense using multi-sensor fusion, and properly reports hardware metrics.</t>
  </si>
  <si>
    <t>IoT and TinyML fire detection system deployed on Arduino Nano 33 BLE Sense with multisensor fusion (CO, CO2, temperature, GPS); reports validation/deployment accuracy, inference latency, RAM and flash usage, supporting low-power edge deployment for fire monitoring.</t>
  </si>
  <si>
    <t>T0047</t>
  </si>
  <si>
    <t>samuel_tinyml_2025</t>
  </si>
  <si>
    <t>10.21203/rs.3.rs-8379288/v1</t>
  </si>
  <si>
    <t>Research Square (Preprint)</t>
  </si>
  <si>
    <t>TinyML Anomaly Detection and Fault Prediction for Industrial Applications</t>
  </si>
  <si>
    <t>Ernest Toochukwu Samuel, Tommaso Polonelli, Michele Magno, Adedeji Esan</t>
  </si>
  <si>
    <t>PredictiveMaintenance</t>
  </si>
  <si>
    <t>0.0011 (1 sample per 15 minutes)</t>
  </si>
  <si>
    <t>10800 (3 hours lookback)</t>
  </si>
  <si>
    <t>STM32F091RCT6 (ARM Cortex-M0)</t>
  </si>
  <si>
    <t>TensorFlow Lite, STM32CubeMX (X-Cube-AI)</t>
  </si>
  <si>
    <t>TCN (2 layers, 8 filters, kernel size 5)</t>
  </si>
  <si>
    <t>Proprietary industrial dataset (Cement ball mill)</t>
  </si>
  <si>
    <t>Not specified (Proprietary Lafarge Africa Plc.)</t>
  </si>
  <si>
    <t>Mean Absolute Error (MAE)</t>
  </si>
  <si>
    <t>Not applicable (Mains-powered)</t>
  </si>
  <si>
    <t>Not discussed</t>
  </si>
  <si>
    <t>Partial (Hardware validation, simulation only)</t>
  </si>
  <si>
    <t>Not applicable</t>
  </si>
  <si>
    <t xml:space="preserve">https://www.researchsquare.com/article/rs-8379288/v1
</t>
  </si>
  <si>
    <t>Passes criteria. Deployed physically on an STM32F091RCT6 MCU. Reports the quantized model memory footprint (12.49 KB) and MAE prediction metrics.</t>
  </si>
  <si>
    <t>Relevant context (SHM); models deployed on STM32F091RCT6 (ARM Cortex-M0) . Paper reports sufficient metrics including memory reduction + device specifications (RAM/Flash)</t>
  </si>
  <si>
    <t>T0053</t>
  </si>
  <si>
    <t>albaiz_k-means_2026</t>
  </si>
  <si>
    <t>10.48550/arXiv.2603.27393</t>
  </si>
  <si>
    <t>Conference (Wright State University)</t>
  </si>
  <si>
    <t>K-Means Based TinyML Anomaly Detection and Distributed Model Reuse via the Distributed Internet of Learning (DIoL)</t>
  </si>
  <si>
    <t>Abdulrahman Albaiz, Fathi Amsaad</t>
  </si>
  <si>
    <t>Industrial / Biomedical</t>
  </si>
  <si>
    <t>Not explicitly specified (Continuous sampling)</t>
  </si>
  <si>
    <t>Variable (RMS computed over fixed windows)</t>
  </si>
  <si>
    <t>STM32F446RE</t>
  </si>
  <si>
    <t>None (Software-only)</t>
  </si>
  <si>
    <t>Custom K-Means implementation</t>
  </si>
  <si>
    <t>No (Uses float32, no quantization)</t>
  </si>
  <si>
    <t>Real power measurements from mini-fridge appliance (14 days, 43,285 feature records)</t>
  </si>
  <si>
    <t>Mini-fridge power dataset (collected by authors)</t>
  </si>
  <si>
    <t>No (Two-device prototype only)</t>
  </si>
  <si>
    <t>Full recall (all injected anomalies detected)</t>
  </si>
  <si>
    <t>58,514 ms (43,285 inferences, ~1.35 ms per inference)</t>
  </si>
  <si>
    <t>Not reported (Power: MCU operating current)</t>
  </si>
  <si>
    <t>Not reported (Typical STM32 low-power)</t>
  </si>
  <si>
    <t>Yes (Battery-capable, low-power embedded)</t>
  </si>
  <si>
    <t>Not specified (STM32F446RE flash: 512 KB typical)</t>
  </si>
  <si>
    <t>Not specified (STM32F446RE SRAM: 128 KB typical)</t>
  </si>
  <si>
    <t>Compact (centroids, means, std dev, threshold - human readable text)</t>
  </si>
  <si>
    <t>Local processing (data remains on device), DIoL model sharing via microSD</t>
  </si>
  <si>
    <t>Yes (Full deployment on two STM32 MCUs with real mini-fridge data)</t>
  </si>
  <si>
    <t>https://arxiv.org/abs/2603.27393</t>
  </si>
  <si>
    <t>Passes criteria. Deployed on a resource-constrained MCU prototype using real power measurements from a mini-fridge. Reports inference runtimes and model parsing overheads.</t>
  </si>
  <si>
    <t>Appliance anomaly detection on a STM32F446RE
MCU. Reports model performance and metrics such as model size and inference time.</t>
  </si>
  <si>
    <t>T0054</t>
  </si>
  <si>
    <t>banbury_micronets_2021</t>
  </si>
  <si>
    <t>10.48550/arXiv.2010.11267</t>
  </si>
  <si>
    <t>Proceedings of the 4th MLSys Conference</t>
  </si>
  <si>
    <t>MicroNets: Neural Network Architectures for Deploying TinyML Applications on Commodity Microcontrollers</t>
  </si>
  <si>
    <t>Colby Banbury, Chuteng Zhou, Igor Fedorov, Ramon Matas Navarro, Urmish Thakker, Dibakar Gope, Vijay Janapa Reddi, Matthew Mattina, Paul N. Whatmough</t>
  </si>
  <si>
    <t>16 kHz (audio, typical for KWS)</t>
  </si>
  <si>
    <t>1 sec (KWS), 10 sec (AD)</t>
  </si>
  <si>
    <t>STM32F446RE (Cortex-M4), STM32F746ZG (Cortex-M7), STM32F767ZI (Cortex-M7)</t>
  </si>
  <si>
    <t>None (CMSIS-NN optimized kernels, TFLM interpreter)</t>
  </si>
  <si>
    <t>TensorFlow Lite Micro (TFLM), CMSIS-NN</t>
  </si>
  <si>
    <t>MicroNets (VWW-1/2/3/4, KWS-S/M/L, AD-S/M/L)</t>
  </si>
  <si>
    <t>Yes (8-bit integer quantization, 4-bit experimental)</t>
  </si>
  <si>
    <t>No (NAS used for architecture search)</t>
  </si>
  <si>
    <t>Yes (Knowledge distillation with MobilenetV2 teacher for VWW)</t>
  </si>
  <si>
    <t>Yes (DNAS - Differentiable Neural Architecture Search)</t>
  </si>
  <si>
    <t>Visual Wake Words (VWW), Google Speech Commands V2 (KWS), MIMII Slide Rail (AD)</t>
  </si>
  <si>
    <t>VWW dataset, Google Speech Commands V2, MIMII (Slide Rail)</t>
  </si>
  <si>
    <t>Accuracy (VWW/KWS), AUC (AD), Latency, SRAM, Flash</t>
  </si>
  <si>
    <t>VWW: 78.1-88.03%, KWS: 95.3-96.5%, AD AUC: 95.35-97.28%</t>
  </si>
  <si>
    <t>79 ms to 1133 ms (depending on model and MCU)</t>
  </si>
  <si>
    <t>27.25 to 478.8 (depending on model and MCU)</t>
  </si>
  <si>
    <t>~100-300 mW (active, varies by MCU)</t>
  </si>
  <si>
    <t>Yes (Battery-powered, low-power MCU operation)</t>
  </si>
  <si>
    <t>102 to 833 (model weights in eFlash)</t>
  </si>
  <si>
    <t>53.2 to 285.3 (SRAM for activations)</t>
  </si>
  <si>
    <t>102 to 833 (model size in KB)</t>
  </si>
  <si>
    <t>Not discussed (Privacy by design via edge computing)</t>
  </si>
  <si>
    <t>Yes (Full deployment on 3 STM32 MCUs with TFLM, open-source models)</t>
  </si>
  <si>
    <t>Yes (Open-source models and training scripts)</t>
  </si>
  <si>
    <t>https://github.com/ARM-software/ML-zoo</t>
  </si>
  <si>
    <t>https://arxiv.org/abs/2010.11267</t>
  </si>
  <si>
    <t>Passes criteria. Despite using operation count as a proxy during the Neural Architecture Search (NAS), they explicitly state they deployed the final MicroNet models onto physical MCUs using TensorFlow Lite Micro for validation.</t>
  </si>
  <si>
    <t>Three different applications, including anomaly detection which is vastly used in industrial settings. While not designed just for this purpose, the model is deployed on a suitable MCU and the paper reports sufficient metrics.</t>
  </si>
  <si>
    <t>T0057</t>
  </si>
  <si>
    <t>shirly_edge-based_2025</t>
  </si>
  <si>
    <t>10.1109/iTechSECOM64750.2025.11307279</t>
  </si>
  <si>
    <t>2025 Second International Conference on Intelligent Technologies for Sustainable Electric and Communications Systems (iTech SECOM)</t>
  </si>
  <si>
    <t>Edge-Based TinyML for Fault Detection Using Sound Vibration Analysis</t>
  </si>
  <si>
    <t>A.R. Danila Shirly, S. Prathiba, L. Ramya Hyacinth, Lokeshwar K, Jennifer Ruth Pauline G</t>
  </si>
  <si>
    <t>Not explicitly specified (typical audio range)</t>
  </si>
  <si>
    <t>Not specified (audio samples of varying length)</t>
  </si>
  <si>
    <t>Arduino Nano RP2040 Connect (Dual-core ARM Cortex-M0+)</t>
  </si>
  <si>
    <t>None (No FPU, no hardware acceleration)</t>
  </si>
  <si>
    <t>TensorFlow, TensorFlow Lite for Microcontrollers (TFLM), CMSIS-DSP</t>
  </si>
  <si>
    <t>TinyML fault detection model (MFE-based feature extraction)</t>
  </si>
  <si>
    <t>Yes (Quantized float32 model, ~18KB)</t>
  </si>
  <si>
    <t>Proprietary audio samples from machinery (motors, pumps, fans) under normal and fault conditions</t>
  </si>
  <si>
    <t>Not specified (Proprietary dataset)</t>
  </si>
  <si>
    <t>Accuracy, Precision, Recall, F1-Score, Inference Time, Model Size, RAM Usage</t>
  </si>
  <si>
    <t>90-96% (96% lab, ~91% high-noise industrial)</t>
  </si>
  <si>
    <t>40-45 (average), 43 ms (typical)</t>
  </si>
  <si>
    <t>3.6-4.05 (40-45ms × 90mW), ~4 mJ per inference</t>
  </si>
  <si>
    <t>90-100 (active mode)</t>
  </si>
  <si>
    <t>Yes (Battery-powered with 18650 cell, MT3608 boost converter)</t>
  </si>
  <si>
    <t>16 MB (Flash total), ~18 KB (model)</t>
  </si>
  <si>
    <t>28-32 (peak during inference)</t>
  </si>
  <si>
    <t>~18</t>
  </si>
  <si>
    <t>Not discussed (BLE for wireless monitoring)</t>
  </si>
  <si>
    <t>Yes (Full deployment on Arduino Nano RP2040, tested on pumps, motors, fans)</t>
  </si>
  <si>
    <t>https://ieeexplore.ieee.org/abstract/document/11307279</t>
  </si>
  <si>
    <t>Passes all criteria. Physically deployed on an ESP32-S3 microcontroller. Explicitly reports the model size (108 KB), inference latency (45 ms), and energy consumption (17.7 mJ).</t>
  </si>
  <si>
    <t xml:space="preserve">Fault detection using sound vibrations on the Nano RP2020 device. Reports metrics such as model size, inference time, and power consumption. LIMITATIONS: accuracy reported as an image showing "100%" which is suspiciously high, and provides no explanation. Use with caution. </t>
  </si>
  <si>
    <t>T0058</t>
  </si>
  <si>
    <t>rusci_self-learning_2025</t>
  </si>
  <si>
    <t>IEEE IoT-J</t>
  </si>
  <si>
    <t>Self-Learning for Personalized Keyword Spotting on Ultralow-Power Audio Sensors</t>
  </si>
  <si>
    <t>Manuele Rusci et al.</t>
  </si>
  <si>
    <t>NR</t>
  </si>
  <si>
    <t>MCU + DSP / Accelerator</t>
  </si>
  <si>
    <t>GAP9</t>
  </si>
  <si>
    <t>DS-CNN-S / DS-CNN-M</t>
  </si>
  <si>
    <t>Real</t>
  </si>
  <si>
    <t>SingleDevice</t>
  </si>
  <si>
    <t>Accuracy Improvement</t>
  </si>
  <si>
    <t xml:space="preserve">https://ieeexplore.ieee.org/stamp/stamp.jsp?arnumber=10816645
</t>
  </si>
  <si>
    <t xml:space="preserve">Real deployment on GAP9 MCU (RISC-V). Reports measured power (6.1–8.2 mW), latency, memory (SRAM/Flash), and training energy. Fully traceable with power breakdown and memory tables. IoT/smart home domain.
</t>
  </si>
  <si>
    <t>Deployed on a GAP9 MCU and reported the latency, memory and energy.</t>
  </si>
  <si>
    <t>T0059</t>
  </si>
  <si>
    <t>cioflan_efficient_2026</t>
  </si>
  <si>
    <t>Efficient On-Device Domain Learning for Keyword Spotting on Ultra-Low-Power Platforms</t>
  </si>
  <si>
    <t>Cristian Cioflan et al.</t>
  </si>
  <si>
    <t>Accuracy Gain</t>
  </si>
  <si>
    <t xml:space="preserve">https://ieeexplore.ieee.org/stamp/stamp.jsp?tp=&amp;arnumber=11352794
</t>
  </si>
  <si>
    <t xml:space="preserve">Real deployment on GAP9 MCU (RISC-V). Reports measured power (26 mW avg during training), latency (13.5 s adaptation), energy (357 mJ), and memory (10 kB on-chip for classifier-only training). Full traceability with power traces, memory tables, and EDP comparisons. IoT/smart home domain.
</t>
  </si>
  <si>
    <t>Similar deployment architecture like the previous paper, also reports all the metrics required.</t>
  </si>
  <si>
    <t>T0060</t>
  </si>
  <si>
    <t>busia_target-aware_2022</t>
  </si>
  <si>
    <t>Target-Aware Neural Architecture Search and Deployment for Keyword Spotting</t>
  </si>
  <si>
    <t>Paola Busia et al.</t>
  </si>
  <si>
    <t>ST SensorTile (Cortex-M4)</t>
  </si>
  <si>
    <t xml:space="preserve">https://ieeexplore.ieee.org/stamp/stamp.jsp?tp=&amp;arnumber=9755991
</t>
  </si>
  <si>
    <t xml:space="preserve">Hardware-aware NAS targeting ST SensorTile (ARM Cortex-M4). Reports memory footprint and only model-based latency estimates (roofline model with ~25% error). Preprocessing and quantization explored, but no physical deployment power/latency measurements. Storage requirements reported, but no measured on-device metrics from actual hardware execution.
</t>
  </si>
  <si>
    <t>Deployed on an ARM Cortex-M4, also performed preprocessing and quantization. Reported memory and latency estimates.</t>
  </si>
  <si>
    <t>T0061</t>
  </si>
  <si>
    <t>aira_mosquiot_2023</t>
  </si>
  <si>
    <r>
      <rPr>
        <rFont val="Google Sans"/>
        <color rgb="FF1155CC"/>
        <u/>
      </rPr>
      <t>10.1109/TIM.2023.3265119</t>
    </r>
  </si>
  <si>
    <t>IEEE Transactions on Instrumentation and Measurement</t>
  </si>
  <si>
    <t>MosquIoT: A System Based on IoT and Machine Learning for the Monitoring of Aedes aegypti (Diptera: Culicidae)</t>
  </si>
  <si>
    <t>Javier Aira , Teresa Olivares , Francisco M. Delicado , Darío Vezzani</t>
  </si>
  <si>
    <t>480 MHz</t>
  </si>
  <si>
    <t xml:space="preserve"> OpenMV CAM (CAMera) H7 PLUS</t>
  </si>
  <si>
    <t>Edge Impulse’s Machine Learning, FOMO + TFLite</t>
  </si>
  <si>
    <t>FOMO</t>
  </si>
  <si>
    <t>snapshots of tongue depressors (oviposition substrates) and their associated eggs</t>
  </si>
  <si>
    <t>≈97.67%</t>
  </si>
  <si>
    <t>~10,000 ms (≈10 seconds per reading cycle)</t>
  </si>
  <si>
    <t>~7 days operation,  10 000 mAh lithium battery</t>
  </si>
  <si>
    <t>device: ~34,000 KB (32 MB external + 2 MB internal flash)</t>
  </si>
  <si>
    <t>device: ~33,000 KB (32 MB SDRAM + 1 MB SRAM)</t>
  </si>
  <si>
    <t>Yes, PoC deployment</t>
  </si>
  <si>
    <t>https://ieeexplore.ieee.org/document/10093891</t>
  </si>
  <si>
    <t>Mosquito egg detection for smart city surveillance using TinyML CNN (FOMO, MobileNetV2-based) on MCU (OpenMV + ESP32). Reports ~97.67% accuracy, ~10 s inference latency, ~7-day battery operation, on-device edge inference with LPWAN (LoRaWAN/WiFi) connectivity, low-cost scalable IoT deployment</t>
  </si>
  <si>
    <t>Platform (ARM Cortex-M7 + ESP32) and memory architecture reported, but missing measured inference latency (ms), power/energy consumption, and specific model RAM/Flash footprint. Reports 10 sec end-to-end response time (includes camera capture + multiple snapshots + communication), not isolated TinyML inference time. Does not meet requirement for at least two of (latency, energy/power, memory) with measured metrics from deployed model.</t>
  </si>
  <si>
    <t>T0066</t>
  </si>
  <si>
    <t>cerutti_sub-mw_2022</t>
  </si>
  <si>
    <t>IEEE TCAS-I</t>
  </si>
  <si>
    <t>Sub-mW Keyword Spotting on an MCU: Analog Binary Feature Extraction and Binary Neural Networks</t>
  </si>
  <si>
    <t>Gianmarco Cerutti et al.</t>
  </si>
  <si>
    <t>GAP8</t>
  </si>
  <si>
    <t>Analog Front End</t>
  </si>
  <si>
    <t>Google Speech Commands</t>
  </si>
  <si>
    <t>Energy Efficiency</t>
  </si>
  <si>
    <t>284 µJ</t>
  </si>
  <si>
    <t>https://ieeexplore.ieee.org/document/9707596</t>
  </si>
  <si>
    <t>Real MCU deployment (GAP8 RISC-V) with measured energy/power (0.28-0.56 mJ acquisition, 31.3 GMAC/s/W processing) and memory (BNN with 32-128 filters). Platform + energy/power + memory reported with physical hardware implementation and measurements. IoT/smart device domain (keyword spotting for always-on voice interfaces).</t>
  </si>
  <si>
    <t>T0067</t>
  </si>
  <si>
    <t>bartoli_end--end_2025</t>
  </si>
  <si>
    <t>End-to-End Efficiency in Keyword Spotting: A System-Level Approach for Embedded Microcontrollers</t>
  </si>
  <si>
    <t>Pietro Bartoli et al.</t>
  </si>
  <si>
    <t>STM32 (N6, H7, U5)</t>
  </si>
  <si>
    <t>TKWS</t>
  </si>
  <si>
    <t>EDP</t>
  </si>
  <si>
    <t>https://arxiv.org/pdf/2509.07051</t>
  </si>
  <si>
    <t>Real MCU deployment on three STM32 platforms (Cortex-M55/M7/M33) with measured latency (ms), measured energy (mJ), and memory (parameter counts). Platform + at least two of (latency, energy, memory) satisfied with hardware measurements. Comprehensive system-level benchmarking. IoT/embedded domain (keyword spotting for battery-powered devices).</t>
  </si>
  <si>
    <t>Good benchmarking paper, demonstrates MCU deployment on STM32 with measured latency (ms), measured energy (mJ), and memory.</t>
  </si>
  <si>
    <t>T0068</t>
  </si>
  <si>
    <t>kadam_proximity-gated_2025</t>
  </si>
  <si>
    <t>IEEE ICCIT</t>
  </si>
  <si>
    <t>Proximity-Gated Wake-Word Spotting on Low-Power Embedded Hardware Using Quantized CNNs</t>
  </si>
  <si>
    <t>Swara Kadam et al.</t>
  </si>
  <si>
    <t>TFLM</t>
  </si>
  <si>
    <t>Latency</t>
  </si>
  <si>
    <t>&lt;10 ms</t>
  </si>
  <si>
    <t>https://ieeexplore.ieee.org/document/11453401</t>
  </si>
  <si>
    <t>Real MCU deployment on ESP32 with measured latency (5.4 ms), measured power (20.3 mW), and memory (24.2 KB model, 56 KB SRAM). Platform + at least two of (latency, energy, memory) satisfied with hardware measurements. Proximity-gated activation for energy efficiency. IoT/embedded domain (wake-word spotting for battery-powered devices).</t>
  </si>
  <si>
    <t>T0070</t>
  </si>
  <si>
    <t>cioflan_-device_2024</t>
  </si>
  <si>
    <t>On-Device Domain Learning for Keyword Spotting on Low-Power Extreme Edge Embedded Systems</t>
  </si>
  <si>
    <t>https://arxiv.org/pdf/2403.10549</t>
  </si>
  <si>
    <t>Real MCU deployment on GAP9 RISC-V platform with measured latency (6.7-55 ms per inference, 14 sec total adaptation), measured energy (384-2313 µJ per sample, 806 mJ total), and memory (10-41 kB read-write). Platform + at least two of (latency, energy, memory) satisfied with hardware measurements. IoT/smart device domain (keyword spotting for battery-operated edge devices).</t>
  </si>
  <si>
    <t>Performs MCU-class deployment, builds on T0060 with a similar methodology. Reports all the metrics required.</t>
  </si>
  <si>
    <t>T0071</t>
  </si>
  <si>
    <t>garai_exploring_2024</t>
  </si>
  <si>
    <t>NIT Durgapur</t>
  </si>
  <si>
    <t>SPCOM</t>
  </si>
  <si>
    <t>Exploring TinyML Frameworks for Small-Footprint Keyword Spotting: A Concise Overview</t>
  </si>
  <si>
    <t>Soumen Garai et al.</t>
  </si>
  <si>
    <t>MicroNet-S</t>
  </si>
  <si>
    <t>Compression</t>
  </si>
  <si>
    <t>https://ieeexplore.ieee.org/document/10631631</t>
  </si>
  <si>
    <t>This is a survey/review paper, not a primary TinyML deployment paper. Provides overview of SF-KWS techniques and compares TinyML frameworks using existing literature. Does not present original on-device deployment with measured latency, energy/power, or memory from physical hardware. Excluded per PRISMA criteria for review articles.</t>
  </si>
  <si>
    <t>It is a survey paper that talks about keyword spotting for various tinyml frameworks.</t>
  </si>
  <si>
    <t>T0074</t>
  </si>
  <si>
    <t>rusci_-device_2023</t>
  </si>
  <si>
    <t>IEEE Design &amp; Test</t>
  </si>
  <si>
    <t>On-Device Customization of Tiny Deep Learning Models for Keyword Spotting With Few Examples</t>
  </si>
  <si>
    <t>Multicore MCU</t>
  </si>
  <si>
    <t>ResNet15</t>
  </si>
  <si>
    <t>https://ieeexplore.ieee.org/document/10241972</t>
  </si>
  <si>
    <t>Real MCU deployment on GAP9 (RISC-V) with measured latency (0.61–9.21 ms), measured energy (28.3–246.9 μJ), and memory (parameters + activations). Platform + at least two of (latency, energy, memory) satisfied with hardware measurements. Few-shot on-device customization for KWS. IoT/smart device domain.</t>
  </si>
  <si>
    <t>Demonstrates on-device MCU deployment on the GAP9 and reports memory, latency and energy.</t>
  </si>
  <si>
    <t>T0076</t>
  </si>
  <si>
    <t>grzybek_low-power_2025</t>
  </si>
  <si>
    <t>IEEE ICECS</t>
  </si>
  <si>
    <t>Low-Power Real-Time Keyword Spotting for Autonomous Edge Devices</t>
  </si>
  <si>
    <t>Michael Grzybek et al.</t>
  </si>
  <si>
    <t>ARM</t>
  </si>
  <si>
    <t>CMSIS-DSP</t>
  </si>
  <si>
    <t>https://ieeexplore.ieee.org/document/11270693</t>
  </si>
  <si>
    <t>Real MCU deployment on STM32 Cortex-M4 with measured latency (64 ms response, 2.28 ms frame conversion, 3.10 ms MFCC), measured power (18.51 mW run, 6.22 mW idle), and memory (~30 KB RAM). Platform + at least two of (latency, energy, memory) satisfied with hardware measurements. IoT/edge device domain.</t>
  </si>
  <si>
    <t>Perfoms deployment on STM32 Cortex-M4 and reports the necessary deployment metrics.</t>
  </si>
  <si>
    <t>T0077</t>
  </si>
  <si>
    <t>fernandez-morales_compact_2025</t>
  </si>
  <si>
    <t>IEEE TIM</t>
  </si>
  <si>
    <t>Compact Near-Real-Time Anger Detection System Through Voice Analysis Implemented on ESP32 Microcontroller</t>
  </si>
  <si>
    <t>Ivan Fernandez-Morales et al.</t>
  </si>
  <si>
    <t>MiniVGG16</t>
  </si>
  <si>
    <t>https://ieeexplore.ieee.org/document/11018087</t>
  </si>
  <si>
    <t>Real MCU deployment on ESP32 with measured latency (676 ms end-to-end, 168 ms inference) and memory (64.9 KB model, fits within 520 KB RAM/4 MB flash). Platform + latency + memory satisfies metric minimum (two of three: latency, memory). IoT/smart home/emotion monitoring domain.</t>
  </si>
  <si>
    <t>Perfoms deployment on ESP32 and reports all the three metrics including memory, energy and latency.</t>
  </si>
  <si>
    <t>T0079</t>
  </si>
  <si>
    <t>Banbury2021</t>
  </si>
  <si>
    <t>https://arxiv.org/abs/2106.07597</t>
  </si>
  <si>
    <t>MLPerf Tiny Benchmark</t>
  </si>
  <si>
    <t>Colby Banbury et al.</t>
  </si>
  <si>
    <t>NUCLEO-L4R5ZI</t>
  </si>
  <si>
    <t>Keyword Spotting; Visual Wake Words; Image Classification; Anomaly Detection</t>
  </si>
  <si>
    <t>Benchmark datasets</t>
  </si>
  <si>
    <t>Speech Commands v2; Visual Wake Words; CIFAR-10; ToyADMOS</t>
  </si>
  <si>
    <t>Reported</t>
  </si>
  <si>
    <t>https://github.com/mlcommons/tiny</t>
  </si>
  <si>
    <t>Benchmark suite paper evaluating multiple tasks across MCU platforms; reports latency, energy, and accuracy. Limitation: arXiv preprint.</t>
  </si>
  <si>
    <t>Defines MLPerf Tiny, a standardized open-source benchmark suite with datasets, models, and metrics (accuracy, latency, energy) for evaluating TinyML systems across IoT hardware</t>
  </si>
  <si>
    <t>T0080</t>
  </si>
  <si>
    <t>saponara_tinyml_2022</t>
  </si>
  <si>
    <t>https://doi.org/10.1007/978-3-030-95498-7_20</t>
  </si>
  <si>
    <t>Springer</t>
  </si>
  <si>
    <t>TinyML Platforms Benchmarking</t>
  </si>
  <si>
    <t>Anas Osman; Usman Abid; Luca Gemma; Matteo Perotto; Davide Brunelli</t>
  </si>
  <si>
    <t>Arduino Nano 33 BLE; STM32 NUCLEO-F401RE</t>
  </si>
  <si>
    <t>TensorFlow Lite Micro; X-CUBE-AI</t>
  </si>
  <si>
    <t>CNN (gesture recognition); CNN (wake word spotting)</t>
  </si>
  <si>
    <t>Custom collected IMU dataset; Speech Commands dataset</t>
  </si>
  <si>
    <t>Custom IMU gesture dataset; Speech Commands (limited subset)</t>
  </si>
  <si>
    <t>Inference Time</t>
  </si>
  <si>
    <t>https://link.springer.com/chapter/10.1007/978-3-030-95498-7_20</t>
  </si>
  <si>
    <t>Benchmarking paper comparing TFLM vs X-CUBE-AI across gesture recognition and wake word spotting; reports memory and inference time. Limitation: small-scale datasets and limited platforms.</t>
  </si>
  <si>
    <t>Benchmarks ML models on edge devices with emphasis on energy consumption, providing relevant evaluation methodology for TinyML systems</t>
  </si>
  <si>
    <t>T0081</t>
  </si>
  <si>
    <t>MCUNet2020</t>
  </si>
  <si>
    <r>
      <rPr>
        <rFont val="Google Sans"/>
        <color rgb="FF1155CC"/>
        <u/>
      </rPr>
      <t>https://proceedings.neurips.cc/paper/2020/hash/86c51678350f656dcc7f490a43946ee5-Abstract.html</t>
    </r>
    <r>
      <rPr>
        <rFont val="Google Sans"/>
        <color theme="1"/>
      </rPr>
      <t xml:space="preserve"> </t>
    </r>
  </si>
  <si>
    <t>NeurIPS</t>
  </si>
  <si>
    <t>MCUNet: Tiny Deep Learning on IoT Devices</t>
  </si>
  <si>
    <t>Ji Lin; Wei-Ming Chen; Yujun Lin; Chuang Gan; Song Han</t>
  </si>
  <si>
    <t>STM32F746; STM32F429</t>
  </si>
  <si>
    <t>TinyEngine; MCUNet</t>
  </si>
  <si>
    <t>MCUNet</t>
  </si>
  <si>
    <t>ImageNet</t>
  </si>
  <si>
    <r>
      <rPr>
        <rFont val="Google Sans"/>
        <color rgb="FF1155CC"/>
        <u/>
      </rPr>
      <t>https://github.com/mit-han-lab/mcunet</t>
    </r>
    <r>
      <rPr>
        <rFont val="Google Sans"/>
        <color theme="1"/>
      </rPr>
      <t xml:space="preserve"> </t>
    </r>
  </si>
  <si>
    <r>
      <rPr>
        <rFont val="Google Sans"/>
        <color rgb="FF1155CC"/>
        <u/>
      </rPr>
      <t>https://proceedings.neurips.cc/paper/2020/hash/86c51678350f656dcc7f490a43946ee5-Abstract.html</t>
    </r>
    <r>
      <rPr>
        <rFont val="Google Sans"/>
        <color theme="1"/>
      </rPr>
      <t xml:space="preserve"> </t>
    </r>
  </si>
  <si>
    <t>NeurIPS paper introducing MCUNet and TinyEngine for running deep learning on MCUs; reports real-device latency and memory usage. Limitation: focuses on vision tasks only, not full multi-domain TinyML benchmarking.</t>
  </si>
  <si>
    <t>Uses standard datasets (ImageNet, Speech Commands, VWW) only for evaluation; main contribution is model/system design (MCUNet), performs comparative benchmarking</t>
  </si>
  <si>
    <t>T0082</t>
  </si>
  <si>
    <t>alajlan_tinyml_2022</t>
  </si>
  <si>
    <t>https://www.mdpi.com/2072-666X/13/6/851</t>
  </si>
  <si>
    <t>Micromachines</t>
  </si>
  <si>
    <t>TinyML: Enabling of Inference Deep Learning Models on Ultra-Low-Power IoT Edge Devices for AI Applications</t>
  </si>
  <si>
    <t>Norah N. Alajlan; Dina M. Ibrahim</t>
  </si>
  <si>
    <r>
      <rPr>
        <rFont val="Google Sans"/>
        <color rgb="FF1155CC"/>
        <u/>
      </rPr>
      <t>https://www.mdpi.com/2072-666X/13/6/851</t>
    </r>
    <r>
      <rPr>
        <rFont val="Google Sans"/>
        <color theme="1"/>
      </rPr>
      <t xml:space="preserve"> </t>
    </r>
  </si>
  <si>
    <t>Systematic review paper using PRISMA to summarize TinyML models datasets devices and limitations not a primary benchmarking experiment</t>
  </si>
  <si>
    <t>Survey paper on TinyML models and datasets</t>
  </si>
  <si>
    <t>T0083</t>
  </si>
  <si>
    <t>gao_edge-deployable_2025</t>
  </si>
  <si>
    <t>10.1007/s11431-025-3072-9</t>
  </si>
  <si>
    <t>Science China Technological Sciences, Vol. 68, Iss. 12, 2220401:1–14</t>
  </si>
  <si>
    <t>An edge-deployable TinyML approach enhanced by transfer learning for efficient bearing fault diagnosis</t>
  </si>
  <si>
    <t>Zheng Gao, Zhichao Jiang, Zefang Dong, Xianpeng Fu, Yuanfen Chen, Chi Zhang</t>
  </si>
  <si>
    <t>5120 (SEU dataset), 1600 (proprietary dataset)</t>
  </si>
  <si>
    <t>0.01 (16 timesteps at 1600Hz = 0.01s)</t>
  </si>
  <si>
    <t>ESP32-S3 (Dual-core 32-bit LX7, up to 240MHz), ESP8684 (RISC-V)</t>
  </si>
  <si>
    <t>None (Software-only, TFLM)</t>
  </si>
  <si>
    <t>TensorFlow, Keras, TensorFlow Lite Micro (TFLM)</t>
  </si>
  <si>
    <t>Res-CNN-LSTM (DscConv)</t>
  </si>
  <si>
    <t>Yes (int8 quantization, post-training quantization)</t>
  </si>
  <si>
    <t>Yes (Structured pruning, 0-50% sparsity)</t>
  </si>
  <si>
    <t>SEU gearbox dataset, Proprietary bearing vibration dataset</t>
  </si>
  <si>
    <t>SEU dataset, Proprietary bearing dataset (4 fault types: normal, inner race, ball, outer race)</t>
  </si>
  <si>
    <t>Accuracy, Recall, F1-score, Inference Time, Energy per Inference, Model Size</t>
  </si>
  <si>
    <t>88.28% (quantized, pruned)</t>
  </si>
  <si>
    <t>44.9 (inference on MCU), 45 ms typical</t>
  </si>
  <si>
    <t>17.7 (inference only), 148 (full process including data reception and upload)</t>
  </si>
  <si>
    <t>~183 (standby), ~395 (peak during inference)</t>
  </si>
  <si>
    <t>Yes (Low-power, battery-capable)</t>
  </si>
  <si>
    <t>1115 (total program Flash), 73 (quantized model)</t>
  </si>
  <si>
    <t>129 (global variables), 327 total SRAM, ~74 (during inference)</t>
  </si>
  <si>
    <t>73 (int8 quantized)</t>
  </si>
  <si>
    <t>Not discussed (UDP, MQTT protocols, OneNet cloud platform)</t>
  </si>
  <si>
    <t>Yes (Full deployment on ESP32-S3, proprietary test bench, real-time monitoring system)</t>
  </si>
  <si>
    <t>https://link.springer.com/article/10.1007/s11431-025-3072-9</t>
  </si>
  <si>
    <t>Passes all criteria. Deployed on an Arduino Nano RP2040 and provides a comprehensive metrics table reporting model size (~18 KB), peak RAM usage (~28-32 KB), inference time (40-45 ms), and active power consumption (~90-100 mW).</t>
  </si>
  <si>
    <t>Bearing fault diagnosis on ESP32. Reports sufficient metrics; relevant to topic.</t>
  </si>
  <si>
    <t>T0084</t>
  </si>
  <si>
    <t>alshuhail_tinyml-enabled_2025</t>
  </si>
  <si>
    <t>10.1016/j.aej.2025.08.046</t>
  </si>
  <si>
    <t>Alexandria Engineering Journal, Vol. 129, pp. 1340-1348</t>
  </si>
  <si>
    <t>TinyML-enabled structural health monitoring for real-time anomaly detection in civil infrastructure</t>
  </si>
  <si>
    <t>Asma Alshuhail, Hanan Abdullah Mengash, Meshari H. Alanazi, Muhammad Kashif Saeed, Mukhtar Ghaleb, Mesfer Al Duhayyim, Nawaf Alhebaishi, Abdulrahman Alzahrani</t>
  </si>
  <si>
    <t>100 (accelerometer), 860 (ADC sampling)</t>
  </si>
  <si>
    <t>0.01 (10 samples at 100Hz = 0.1s typical)</t>
  </si>
  <si>
    <t>ESP32, Arduino Nano 33 BLE (240MHz, ultra-low-power sleep 5µA)</t>
  </si>
  <si>
    <t>None (Software-only, TensorFlow Lite)</t>
  </si>
  <si>
    <t>TensorFlow Lite, TensorFlow Lite Micro</t>
  </si>
  <si>
    <t>Pruned Decision Tree with quantization</t>
  </si>
  <si>
    <t>Yes (Post-training pruning, branch removal)</t>
  </si>
  <si>
    <t>Yes (30% model complexity reduction)</t>
  </si>
  <si>
    <t>Simulated infrastructure dataset (normal + anomalous: cracks, bolt looseness)</t>
  </si>
  <si>
    <t>Simulated SHM dataset (collected by authors)</t>
  </si>
  <si>
    <t>Accuracy, Energy Consumption, Latency, Cumulative Accuracy</t>
  </si>
  <si>
    <t>92% (anomaly detection), 95% cumulative accuracy within 5 seconds</t>
  </si>
  <si>
    <t>500-700 (on-device processing), 1500-2000 (total: collection 200-400 + processing 500-700 + transmission 500-800)</t>
  </si>
  <si>
    <t>Not reported (20% energy reduction vs traditional)</t>
  </si>
  <si>
    <t>Not reported (40% less energy than traditional SHM)</t>
  </si>
  <si>
    <t>Yes (Rechargeable LiPo 3.7V/2000mAh or solar 6V/2W, 6 months operation)</t>
  </si>
  <si>
    <t>Not specified (TinyML optimized)</t>
  </si>
  <si>
    <t>Not specified (Lightweight edge device)</t>
  </si>
  <si>
    <t>Not specified (Quantized, pruned model)</t>
  </si>
  <si>
    <t>AES-256 encryption, two-factor authentication, secure communication protocols, CRC error detection</t>
  </si>
  <si>
    <t>Yes (Simulated infrastructure environment, scaled-down prototypes, wind/traffic simulation)</t>
  </si>
  <si>
    <t>Despite a lab deployment on an ESP32/Arduino, it fails the strict metrics rule. The paper provides theoretical formulas for energy but only reports a vague processing latency range (500-700 ms) and a relative "20% energy savings" without reporting absolute power (mW/µJ) or memory footprint (KB).</t>
  </si>
  <si>
    <t>Good paper but vague reporting of some metrics. Mention as a limitation.</t>
  </si>
  <si>
    <t>T0085</t>
  </si>
  <si>
    <t>mahir_on-device_2026</t>
  </si>
  <si>
    <t>10.1007/978-3-032-13006-8_41</t>
  </si>
  <si>
    <t>ISBM 2025 / Lecture Notes in Networks and Systems</t>
  </si>
  <si>
    <t>On-Device Tree-Based IAQ Forecasting on ESP32: A Comparative Evaluation</t>
  </si>
  <si>
    <t>Hasin Mahir; Tahfizul Hasan Zihan; Md. Shirazim Munir; M. M. Kamal; Mahady Hasan; Md. Tarek Habib</t>
  </si>
  <si>
    <t>models trained offline, converted to C, compiled into ESP32 firmware</t>
  </si>
  <si>
    <t>Random Forest / XGBoost / LightGBM</t>
  </si>
  <si>
    <t>30-min IAQ dataset (CO2, PM2.5; one-week horizon)</t>
  </si>
  <si>
    <t>yes</t>
  </si>
  <si>
    <t>CO2 MAPE; PM2.5 MAPE</t>
  </si>
  <si>
    <t>12.46%; 14.35% (LightGBM)</t>
  </si>
  <si>
    <t>0.165 per step; 55 per week</t>
  </si>
  <si>
    <t>local on-device forecasting; avoids cloud transmission</t>
  </si>
  <si>
    <t>privacy-conscious because occupancy-related IAQ data stays on device</t>
  </si>
  <si>
    <t>https://link.springer.com/chapter/10.1007/978-3-032-13006-8_41</t>
  </si>
  <si>
    <t>This is a conference paper that uses arduino mega with MQTT</t>
  </si>
  <si>
    <t>Smart environmental and safety monitoring system using Arduino Mega, ESP32, CANBus, and MQTT with real-time dashboarding, but it does not implement TinyML or on-device machine learning, so it falls outside the TinyML smart-building corpus despite reporting communication reliability and latency metrics.</t>
  </si>
  <si>
    <t>T0086</t>
  </si>
  <si>
    <t>lee_real-time_2025</t>
  </si>
  <si>
    <t>10.1109/ACCESS.2025.3566635</t>
  </si>
  <si>
    <t>Real-Time Object Detection Using Low-Resolution Thermal Camera for Smart Ventilation Systems</t>
  </si>
  <si>
    <t>Jun-Hee Lee; Eung-Tea Kim</t>
  </si>
  <si>
    <t>STM32F767ZIT6</t>
  </si>
  <si>
    <t>ST X-CUBE-AI on STM32; compared with Raspberry Pi 4B deployment</t>
  </si>
  <si>
    <t>FLARE (Fast and Lightweight Architecture for Real-time Estimation)</t>
  </si>
  <si>
    <t>10,000 collected thermal images expanded to 50,000 with TOI augmentation</t>
  </si>
  <si>
    <t>mAP@0.50</t>
  </si>
  <si>
    <t>303.5 (STM32); 10.14 (Raspberry Pi 4B)</t>
  </si>
  <si>
    <t>no explicit security mechanism reported</t>
  </si>
  <si>
    <t>https://ieeexplore.ieee.org/stamp/stamp.jsp?tp=&amp;arnumber=10982063</t>
  </si>
  <si>
    <t>Passes criteria. Physically deploys the FLARE architecture on an STM32 MCU for thermal object detection, and explicitly reports on Flash/RAM footprint reductions and inference times.</t>
  </si>
  <si>
    <t>Thermal-camera-based occupancy/object detection for smart ventilation, with a lightweight FLARE model deployed on STM32 MCU; reports mAP, flash usage, RAM usage, inference time, and MACs, directly supporting embedded smart-building ventilation control</t>
  </si>
  <si>
    <t>T0088</t>
  </si>
  <si>
    <t>rajaram_sustainability-driven_2026</t>
  </si>
  <si>
    <t>10.1007/s43621-026-02591-5</t>
  </si>
  <si>
    <t>Discover Sustainability</t>
  </si>
  <si>
    <t>Sustainability-driven tiny deep learning empowering green edge intelligence for smart environments</t>
  </si>
  <si>
    <t>Prabhu Rajaram; O. V. Gnana Swathika</t>
  </si>
  <si>
    <t>Presence/Occupancy Detection</t>
  </si>
  <si>
    <t>Arduino Nano 33 BLE Sense; Raspberry Pi Pico</t>
  </si>
  <si>
    <t>TensorFlow/Keras + TFLite feed-forward deployment</t>
  </si>
  <si>
    <t>TDL occupancy model</t>
  </si>
  <si>
    <t>INT8 plus pruning</t>
  </si>
  <si>
    <t>UCI Occupancy Detection dataset; ASHRAE subset</t>
  </si>
  <si>
    <t>UCI Occupancy Detection; ASHRAE subset</t>
  </si>
  <si>
    <t>accuracy</t>
  </si>
  <si>
    <t>local deployment / no cloud processing</t>
  </si>
  <si>
    <t>privacy-preserving local inference; security not thoroughly investigated</t>
  </si>
  <si>
    <t>partial (real deployment on MCUs, HVAC/BMS mainly simulated)</t>
  </si>
  <si>
    <t>https://link.springer.com/article/10.1007/s43621-026-02591-5</t>
  </si>
  <si>
    <t>Excellent paper. Physically deployed on an Arduino Nano 33 BLE Sense and Raspberry Pi Pico. Thoroughly evaluates hardware constraints, reporting sub-kilobyte memory footprints and explicit energy per inference metrics.</t>
  </si>
  <si>
    <t>Tiny deep learning–based occupancy detection for smart buildings deployed on MCU-class devices (Arduino Nano 33 BLE Sense, Raspberry Pi Pico), reporting accuracy, model size (~42 kB), latency (~0.32 ms), and energy per inference, supporting energy-efficient HVAC control in smart-building settings</t>
  </si>
  <si>
    <t>C05;C03</t>
  </si>
  <si>
    <t>High; Low</t>
  </si>
  <si>
    <t>T0089</t>
  </si>
  <si>
    <t>flores_tinyml_2023</t>
  </si>
  <si>
    <t>10.1109/MetroAutomotive57488.2023.10219132</t>
  </si>
  <si>
    <t>IEEE International Workshop on Metrology for Automotive (MetroAutomotive)</t>
  </si>
  <si>
    <t>TinyML for Safe Driving: The Use of Embedded Machine Learning for Detecting Driver Distraction</t>
  </si>
  <si>
    <t>Thommas Flores, Marianne Silva, Mariana Azevedo, Thais Medeiros, Morsinaldo Medeiros, Ivanovitch Silva, Max Mauro Dias Santos , Daniel G. Costa</t>
  </si>
  <si>
    <t>Arduino Portenta H7</t>
  </si>
  <si>
    <t>Edge Impulse (TinyML Pipeline), Arduino C/C++</t>
  </si>
  <si>
    <t>Yes (Int8)</t>
  </si>
  <si>
    <t>Yes (EON tuner optimization)</t>
  </si>
  <si>
    <t>Driver distraction images</t>
  </si>
  <si>
    <t>Public driver distraction dataset</t>
  </si>
  <si>
    <t>Prototype</t>
  </si>
  <si>
    <t>~99.3%</t>
  </si>
  <si>
    <t>~72 ms (for int8)</t>
  </si>
  <si>
    <t xml:space="preserve">~52.7 </t>
  </si>
  <si>
    <t>~164</t>
  </si>
  <si>
    <t>~50-120</t>
  </si>
  <si>
    <t>Partial</t>
  </si>
  <si>
    <t>https://ieeexplore.ieee.org/document/10219132/</t>
  </si>
  <si>
    <t>TinyML CNN for driver distraction detection  with real-time inference</t>
  </si>
  <si>
    <t>Real MCU deployment on Arduino Portenta H7 (STM32H747XI) with measured latency (72 ms) and memory (164 KB RAM, 52.7 KB Flash). Platform + latency + memory satisfies metric minimum (two of three: latency and memory). High accuracy (99.3%). IoT/automotive domain for driver distraction detection. Energy/power not reported but not required as two metrics are present.</t>
  </si>
  <si>
    <t>T0090</t>
  </si>
  <si>
    <t>ronda_real-time_2024</t>
  </si>
  <si>
    <t>10.1109/TENCON61640.2024.10902942</t>
  </si>
  <si>
    <t>TENCON 2024 - 2024 IEEE Region 10 Conference (TENCON)</t>
  </si>
  <si>
    <t>Real-Time Path Hole Detection for Motorcycle Driver Safety Assistance Using Faster Object More Object (FOMO) Algorithm</t>
  </si>
  <si>
    <t xml:space="preserve">John Louise R. Ronda, Ian Edward DG. Pangan, Cristine Jeremie A. Nicolas, Desiree Jhen G. Sales, Paul Ryan A. Santiago,
Reagan L. Galvez, Dennis R. dela Cruz, and Oliver R. Mariano </t>
  </si>
  <si>
    <t>~8-13 FPS</t>
  </si>
  <si>
    <t>ARM Cortex-M7, OpenMV Cam H7 Plus</t>
  </si>
  <si>
    <t>TFLite (Micro), Edge Impulse, MicroPython</t>
  </si>
  <si>
    <t>Custom, real-world road images</t>
  </si>
  <si>
    <t>F1-Score</t>
  </si>
  <si>
    <t>~0.81</t>
  </si>
  <si>
    <t>~69-76 per frame</t>
  </si>
  <si>
    <t>~78</t>
  </si>
  <si>
    <t>~239</t>
  </si>
  <si>
    <t>Yes, on motorcyle at 30-40 kmh</t>
  </si>
  <si>
    <t>https://ieeexplore.ieee.org/document/11218003</t>
  </si>
  <si>
    <t>Pothole detection using TinyML FOMO CNN on MCU, real-time on-device inference (~70 ms, 8–13 FPS), ultra-low memory, offline-first deployment with buzzer alert, validated on motorcycle in real-world driving conditions</t>
  </si>
  <si>
    <t>Real MCU deployment on OpenMV Cam H7 Plus (STM32H743II ARM Cortex-M7) with measured latency (76 ms) and memory (239.5 KB RAM, 78.5 KB Flash). Platform + latency + memory satisfies metric minimum (two of three: latency and memory). Real-world validation on moving motorcycle. F1 score 81-82%. IoT/automotive domain for driver safety.</t>
  </si>
  <si>
    <t>T0091</t>
  </si>
  <si>
    <t>sanchez_deep_2025</t>
  </si>
  <si>
    <t>10.1109/C366505.2025.11340545</t>
  </si>
  <si>
    <t>IEEE Colombian Caribbean Conference (C3)</t>
  </si>
  <si>
    <t>Deep Learning Model for Firearm Detection Based on Tinyml and Edgeia Architectures in Smart Cities</t>
  </si>
  <si>
    <t>Sergio Sanchez, Camilo Baldovino, Carlos Arias, Bryan Restrepo, Jose Gomez, Alex Morales</t>
  </si>
  <si>
    <t>~9–15 FPS depending on hardware</t>
  </si>
  <si>
    <r>
      <rPr>
        <rFont val="Google Sans"/>
        <color theme="1"/>
      </rPr>
      <t xml:space="preserve">Sipeed Maixduino (Kendryte K210, RISC-V + KPU), Raspberry Pi 4 </t>
    </r>
    <r>
      <rPr>
        <rFont val="Google Sans"/>
        <b/>
        <i/>
        <color theme="1"/>
      </rPr>
      <t>for comparison only</t>
    </r>
  </si>
  <si>
    <t>KPU (Neural Processing Unit on K210)</t>
  </si>
  <si>
    <t>TensorFlow, TensorFlow Lite, Kmodel (for K210)</t>
  </si>
  <si>
    <t>MobileNet 7.5</t>
  </si>
  <si>
    <t>Image dataset (firearm detection)</t>
  </si>
  <si>
    <t>Roboflow + open datasets</t>
  </si>
  <si>
    <t>Precision / Recall / F1-score</t>
  </si>
  <si>
    <t>Precision = 0.98, Recall = 0.94, F1 = 0.96</t>
  </si>
  <si>
    <t>~8 MB SRAM (K210 onboard)</t>
  </si>
  <si>
    <t xml:space="preserve"> ~1.859 (!!!!)</t>
  </si>
  <si>
    <t>Designed for surveillance (firearm detection in smart cities), supports real-time threat detection</t>
  </si>
  <si>
    <t>Partial (hardware deployment + inference testing)</t>
  </si>
  <si>
    <t>https://ieeexplore.ieee.org/document/11340545</t>
  </si>
  <si>
    <t>Firearm detection using TinyML CNN (MobileNet 7.5) with INT8 quantization on embedded edge devices (Maixduino K210 + Raspberry Pi), real-time on-device inference (9–15 FPS), ultra-compressed model (~1.8 KB), combines TinyML and Edge AI for smart city surveillance</t>
  </si>
  <si>
    <t>Includes MCU-class RISC-V (K210) with on-device TinyML inference and integrated neural accelerator; non-MCU platform (Raspberry Pi) used only for comparison → not grounds for exclusion. Real MCU deployment on Sipeed Maixduino (K210 RISC-V MCU with KPU neural accelerator) with measured latency (9.3 FPS / ~107.5 ms per frame) and memory (1.86 MB INT8 quantized model). Platform + latency + memory satisfies metric minimum (two of three: latency and memory). High accuracy (F1=0.96, Precision=0.98, Recall=0.94). Smart city/surveillance domain. Raspberry Pi 4 used only for comparative Edge AI analysis, not as primary TinyML platform → does not affect inclusion.</t>
  </si>
  <si>
    <t>T0092</t>
  </si>
  <si>
    <t>novac_uca-ehar_2022</t>
  </si>
  <si>
    <t>10.3390/app12083849</t>
  </si>
  <si>
    <t>Applied Sciences (MDPI)</t>
  </si>
  <si>
    <t>UCA-EHAR: A Dataset for Human Activity Recognition with Embedded AI on Smart Glasses</t>
  </si>
  <si>
    <t>Novac P.-E.; Pegatoquet A.; Miramond B.; Caquineau C.</t>
  </si>
  <si>
    <t>26 (IMU), 6.66 (barometer)</t>
  </si>
  <si>
    <t>~2.46</t>
  </si>
  <si>
    <t>STM32L451RE (Cortex‑M4F @ 40 MHz, 512 KiB flash, 160 KiB SRAM) with integrated BLE transceiver and 350 mWh battery.</t>
  </si>
  <si>
    <t>None (uses CMSIS-NN optimizations)</t>
  </si>
  <si>
    <t>MicroAI (custom), CMSIS-NN, embedded C</t>
  </si>
  <si>
    <t>ResNetv1-6</t>
  </si>
  <si>
    <t>Yes (int8, int16 fixed-point)</t>
  </si>
  <si>
    <t>Public dataset (collected by authors)</t>
  </si>
  <si>
    <t>UCA-EHAR</t>
  </si>
  <si>
    <t>53–173</t>
  </si>
  <si>
    <t>~3.78 mA @ 3.75V (~14 mW approx)</t>
  </si>
  <si>
    <t>~24.6 hours</t>
  </si>
  <si>
    <t>~64</t>
  </si>
  <si>
    <t>~38</t>
  </si>
  <si>
    <t>~63</t>
  </si>
  <si>
    <t>None explicitly</t>
  </si>
  <si>
    <t>Yes (live inference demo on smart glasses)</t>
  </si>
  <si>
    <t>https://doi.org/10.5281/zenodo.5507397</t>
  </si>
  <si>
    <t>https://pdfs.semanticscholar.org/3420/fe50ef93411002060e413f86d5a6761bd521.pdf</t>
  </si>
  <si>
    <t>Smart-glasses HAR dataset + TinyML deployment; 16-bit quantization gives best tradeoff; strong confusion between sitting/standing; memory-bound system</t>
  </si>
  <si>
    <t>System-level evaluation of on-device and cloud-offloaded TinyML inference on IoT hardware, reporting energy, latency, and accuracy trade-offs.</t>
  </si>
  <si>
    <t>T0093</t>
  </si>
  <si>
    <t>zhou_efficient_2025</t>
  </si>
  <si>
    <t>https://doi.org/10.1038/s41598-025-98571-2</t>
  </si>
  <si>
    <t>Scientific Reports (Nature)</t>
  </si>
  <si>
    <t>Efficient human activity recognition on edge devices using DeepConv LSTM architectures</t>
  </si>
  <si>
    <t>Zhou H.; Zhang X.; Feng Y.; Zhang T.; Xiong L.</t>
  </si>
  <si>
    <t>nRF52840 (Arduino Nano 33 BLE Sense Rev2)</t>
  </si>
  <si>
    <t xml:space="preserve">None </t>
  </si>
  <si>
    <t>TensorFlow Lite; Edge Impulse</t>
  </si>
  <si>
    <t>DeepConv LSTM</t>
  </si>
  <si>
    <t>Yes (full integer quantization, int8)</t>
  </si>
  <si>
    <t>Public dataset</t>
  </si>
  <si>
    <t>WISDM</t>
  </si>
  <si>
    <t>98.24% (float), 97.09% (quantized)</t>
  </si>
  <si>
    <t>21 mW</t>
  </si>
  <si>
    <t>~7 days continuous (~22 days @ 8h/day)</t>
  </si>
  <si>
    <t>Yes (on-device deployment + testing)</t>
  </si>
  <si>
    <t>https://github.com/zsgdszt/haotianzhou</t>
  </si>
  <si>
    <t>https://www.nature.com/articles/s41598-025-98571-2.pdf</t>
  </si>
  <si>
    <t>DeepConv LSTM achieves SOTA performance with strong accuracy-efficiency tradeoff; full TinyML pipeline (training, quantization, deployment on Arduino BLE Sense via Edge Impulse); very low latency and memory footprint. Limitations: evaluated only on WISDM dataset (no cross-dataset validation); dataset is imbalanced; struggles with similar activities (e.g., upstairs vs downstairs); no comparison across different MCUs; limited real-world diversity; no OTA/fleet considerations.</t>
  </si>
  <si>
    <t>TinyML-based HAR deployed on Arduino Nano 33 BLE Sense Rev2 with reported model size, RAM, flash, and inference time, demonstrating practical MCU deployment.</t>
  </si>
  <si>
    <t>T0094</t>
  </si>
  <si>
    <t>modran_quantifying_2025</t>
  </si>
  <si>
    <t>10.1109/CSCN67557.2025.11230707</t>
  </si>
  <si>
    <t>IEEE Conference on Standards for Communications and Networking (CSCN)</t>
  </si>
  <si>
    <t>Quantifying Energy–Accuracy–Latency Trade-offs in Cloud-Offloaded and On-Device TinyML Inference on IoT Devices</t>
  </si>
  <si>
    <t>Modran H.A.; Danciu G.M.</t>
  </si>
  <si>
    <t>RP2040 (Arduino Nano RP2040 Connect)</t>
  </si>
  <si>
    <t>TensorFlow Lite Micro; TensorFlow (cloud); Arduino framework</t>
  </si>
  <si>
    <t>Lightweight 1D-CNN (~10k / ~20k params)</t>
  </si>
  <si>
    <t>Proprietary / not clearly specified</t>
  </si>
  <si>
    <t>Custom HAR dataset</t>
  </si>
  <si>
    <t>Energy–Latency–Accuracy trade-off</t>
  </si>
  <si>
    <t>97.5–99.2% accuracy; 0.05–0.28 J; 6.5–275 ms</t>
  </si>
  <si>
    <t>6.5–275</t>
  </si>
  <si>
    <t>50–280 mJ</t>
  </si>
  <si>
    <t>~231 mW (estimated from 70mA @3.3V)</t>
  </si>
  <si>
    <t>HTTPS/TLS used for cloud communication</t>
  </si>
  <si>
    <t>Yes (hardware + network experiments)</t>
  </si>
  <si>
    <t>https://www.researchgate.net/publication/397634098_Quantifying_Energy-Accuracy-Latency_Trade-offs_in_Cloud-Offloaded_and_On-Device_TinyML_Inference_on_IoT_Devices</t>
  </si>
  <si>
    <t>Comprehensive benchmarking of TinyML vs cloud offloading; shows clear trade-offs between latency, energy, and accuracy; on-device gives ultra-low latency (~7 ms) but higher energy, while cloud reduces energy (~0.05 J) but increases latency (~95–275 ms); includes Pareto front analysis for deployment decisions. Limitations: single hardware platform (RP2040); controlled network conditions (RSSI-based, not real-world variability); limited dataset description; simple CNN architecture (no modern models like LSTM/Transformer); no multimodal sensing; energy estimated via datasheets (not direct measurement); no adaptive or dynamic offloading implemented.</t>
  </si>
  <si>
    <t>Evaluates energy–accuracy–latency trade-offs for on-device vs cloud-offloaded TinyML inference on IoT hardware, with full system-level benchmarking.</t>
  </si>
  <si>
    <t>T0095</t>
  </si>
  <si>
    <t>hayajneh_pdf_2026</t>
  </si>
  <si>
    <t>https://doi.org/10.1109/OJCOMS.2024.3373177</t>
  </si>
  <si>
    <t>IEEE Open Journal of the Communications Society</t>
  </si>
  <si>
    <t>TinyML Empowered Transfer Learning on the Edge</t>
  </si>
  <si>
    <t>Ali M. Hayajneh; Maryam Hafeez; Sayed Ali Zaidi; Des McLernon</t>
  </si>
  <si>
    <t>ESP32S3</t>
  </si>
  <si>
    <t>TensorFlow Lite Micro (TFLite-µ); PyTorch Mobile</t>
  </si>
  <si>
    <t>MotionSense; UCI HAR</t>
  </si>
  <si>
    <t>~34</t>
  </si>
  <si>
    <t>https://www.researchgate.net/publication/378756406_TinyML_Empowered_Transfer_Learning_on_the_Edge#:~:text=View%20full-text</t>
  </si>
  <si>
    <t>Uses TL to reduce training cost and enable deployment on MCUs; achieves ~0.98 accuracy on MotionSense but drops on UCI (~0.93); limitations: performance degradation across datasets, dataset dependency, memory constraints prevent deployment of some configs on ESP32S3, trade-off between accuracy and deployability, limited by sequence size and arena memory, unidirectional LSTM only due to TFLite-µ constraints</t>
  </si>
  <si>
    <t>TinyML transfer learning workflow with deployment to ESP32S3 MCU; reports edge inference metrics including flash usage, inference rate, and arena size</t>
  </si>
  <si>
    <t>T0096</t>
  </si>
  <si>
    <t>sharma_efficient_tinyml_2024</t>
  </si>
  <si>
    <t>https://doi-org.aus.idm.oclc.org/10.1109/RTSI61910.2024.10761203</t>
  </si>
  <si>
    <t>IEEE Xplore</t>
  </si>
  <si>
    <t>Efficient Tiny Machine Learning for Human Activity Recognition on Low-Power Edge Devices</t>
  </si>
  <si>
    <t>Vinamra Sharma; Danilo Pau; Jose Cano</t>
  </si>
  <si>
    <t>Arduino; SensorTile.box PRO; Raspberry Pi</t>
  </si>
  <si>
    <t>TensorFlow Lite</t>
  </si>
  <si>
    <t>UCI HAR</t>
  </si>
  <si>
    <t>Arduino lowest energy (~26 µJ per inference)</t>
  </si>
  <si>
    <t>150–600 KiB</t>
  </si>
  <si>
    <t>~150–600</t>
  </si>
  <si>
    <t>https://ieeexplore-ieee-org.aus.idm.oclc.org/document/10761203</t>
  </si>
  <si>
    <t>Applies quantization and pruning to reduce model size (~4×) with ~4% accuracy drop; compares energy/accuracy trade-offs across platforms; Arduino most energy-efficient but lowest accuracy; Raspberry Pi highest accuracy; limitations: accuracy-energy tradeoff, dataset limited to UCI-HAR, no KD applied, generalization issues across models, hardware-dependent performance variability</t>
  </si>
  <si>
    <t>Deploys optimized HAR models on SensorTile.box PRO, Raspberry Pi, and Arduino, with reported hardware-level energy, accuracy, and model size comparisons.</t>
  </si>
  <si>
    <t>T0097</t>
  </si>
  <si>
    <t>elsts_pdf_2025</t>
  </si>
  <si>
    <t>https://doi.org/10.3390/electronics10212640</t>
  </si>
  <si>
    <t>Electronics (MDPI)</t>
  </si>
  <si>
    <t>Are Microcontrollers Ready for Deep Learning-Based Human Activity Recognition?</t>
  </si>
  <si>
    <t>Atis Elsts; Ryan McConville</t>
  </si>
  <si>
    <t>1.28–2.56</t>
  </si>
  <si>
    <t>nRF52840; nRF5340; STM32F746NG; ATSAM3X8E</t>
  </si>
  <si>
    <t>TensorFlow Lite Micro; C (custom RF codegen)</t>
  </si>
  <si>
    <t>Custom CNN; RF</t>
  </si>
  <si>
    <t>Yes (int8 for CNN)</t>
  </si>
  <si>
    <t>PAMAP2</t>
  </si>
  <si>
    <t>F1-score</t>
  </si>
  <si>
    <t>~0.80 (CNN &amp; RF similar)</t>
  </si>
  <si>
    <t>~3 (CNN) vs &lt;1 (RF)</t>
  </si>
  <si>
    <t>Yes (hardware experiments)</t>
  </si>
  <si>
    <t>https://www.researchgate.net/publication/355787942_Are_Microcontrollers_Ready_for_Deep_Learning-Based_Human_Activity_Recognition</t>
  </si>
  <si>
    <t>Compares CNN vs Random Forest on MCUs; finds RF achieves similar accuracy but significantly faster inference (sub-ms vs ~3 ms) and better energy efficiency; shows TinyML DL is feasible but not always optimal; highlights importance of architecture and CMSIS-NN optimizations; limitations: restricted to accelerometer-only HAR, no multimodal data, CNN architectures limited by TFLite Micro (no LSTM support), evaluated on controlled dataset (PAMAP2), no real-world deployment variability, limited model diversity, RF relies on feature engineering</t>
  </si>
  <si>
    <t>Compares RF and CNN HAR models deployed on multiple microcontrollers, with reported inference time and flash usage, providing direct MCU benchmarking evidence.</t>
  </si>
  <si>
    <t>T0098</t>
  </si>
  <si>
    <t>pavan_tinyml_uwb_presence_2023</t>
  </si>
  <si>
    <t>https://doi.org/10.1109/IEEE2</t>
  </si>
  <si>
    <t>IEEE Conference</t>
  </si>
  <si>
    <t>TinyML for UWB-Radar Based Presence Detection</t>
  </si>
  <si>
    <t>Massimo Pavan; Armando Caltabiano; Manuel Roveri</t>
  </si>
  <si>
    <t>192 (indoor) / 10 (in-car)</t>
  </si>
  <si>
    <t>4 (indoor) / 20 (in-car)</t>
  </si>
  <si>
    <t>ESP32 (4MB flash, ~520KB SRAM)</t>
  </si>
  <si>
    <t>TensorFlow Lite (implied TinyML pipeline)</t>
  </si>
  <si>
    <t>TyCNN (custom tiny CNN with dilated convolutions)</t>
  </si>
  <si>
    <t>8-bit post-training quantization</t>
  </si>
  <si>
    <t>Public + custom datasets</t>
  </si>
  <si>
    <t>IR-UWB Through-Wall Radar Dataset + custom in-car dataset</t>
  </si>
  <si>
    <t>0.995 (indoor) / 0.906 (in-car)</t>
  </si>
  <si>
    <t>~55.3</t>
  </si>
  <si>
    <t>No explicit security mechanism</t>
  </si>
  <si>
    <t>Yes (real-world deployment on ESP32 in-car)</t>
  </si>
  <si>
    <t>https://www.researchgate.net/publication/364078340_TinyML_for_UWB-radar_based_presence_detection</t>
  </si>
  <si>
    <t>Proposes first TinyML solution for UWB radar presence detection using custom TyCNN with FFT-based preprocessing and quantization; achieves high accuracy (~99.5% indoor, ~90.6% in-car) with low memory (~55 KB) and real-time inference (~980 ms); strong privacy advantage over vision/audio methods; limitations: binary task only (no activity recognition), small in-car dataset (208 samples), performance drop in real-world scenario (~90%), relatively high latency (~1s borderline for real-time), requires preprocessing overhead (FFT + filtering), no comparison with other TinyML radar approaches (novel domain), limited robustness/generalization evaluation across environments :contentReference[oaicite:0]{index=0}</t>
  </si>
  <si>
    <t>UWB radars fit the smart buildings domain</t>
  </si>
  <si>
    <t>T0099</t>
  </si>
  <si>
    <t>taheri_moghadar_tinyml-based_2025</t>
  </si>
  <si>
    <t>https://doi.org/10.3390/electronics14173533</t>
  </si>
  <si>
    <t>TinyML-Based Real-Time Doorway Activity Recognition with a Time-of-Flight Sensor</t>
  </si>
  <si>
    <t>Sahar Taheri Moghadar; Roberto Gandolfi; Emanuele Torti</t>
  </si>
  <si>
    <t>Distance / Proximity</t>
  </si>
  <si>
    <t>SAMD21 (Arduino Nano 33 IoT)</t>
  </si>
  <si>
    <t>LiteRT (TensorFlow Lite Micro)</t>
  </si>
  <si>
    <t>Custom 1D-CNN</t>
  </si>
  <si>
    <t>Custom dataset</t>
  </si>
  <si>
    <t>Doorway ToF dataset (15 subjects)</t>
  </si>
  <si>
    <t>&lt;35</t>
  </si>
  <si>
    <t>~16</t>
  </si>
  <si>
    <t>&gt;8 days (est.)</t>
  </si>
  <si>
    <t>~85</t>
  </si>
  <si>
    <t>~20</t>
  </si>
  <si>
    <t>Yes (real hardware deployment)</t>
  </si>
  <si>
    <t>https://www.researchgate.net/publication/395280133_TinyML-Based_Real-Time_Doorway_Activity_Recognition_with_a_Time-of-Flight_Sensor</t>
  </si>
  <si>
    <t>Absolute gold standard. Physically deployed on an Arduino Nano 33 IoT. Explicitly reports the inference time (275 ms), average power consumption (16 mW), and SRAM usage (26 KB).</t>
  </si>
  <si>
    <t>TinyML-based real-time doorway activity recognition using a single Time-of-Flight sensor and Arduino Nano 33 IoT, reporting accuracy (&gt;95%), inference time (~275 ms), power consumption (~16 mW), and SRAM usage (~26 KB) for embedded smart-environment occupancy/access monitoring.</t>
  </si>
  <si>
    <t>C01; C05</t>
  </si>
  <si>
    <t>T0101</t>
  </si>
  <si>
    <t>hussein_sensorgan_2024</t>
  </si>
  <si>
    <t>https://doi.org/10.1145/3609425</t>
  </si>
  <si>
    <t>SensorGAN: A Novel Data Recovery Approach for Wearable Human Activity Recognition</t>
  </si>
  <si>
    <t>Dina Hussein; Ganapati Bhat</t>
  </si>
  <si>
    <t>25–250</t>
  </si>
  <si>
    <t>~2–10 (segmented windows)</t>
  </si>
  <si>
    <t>Embedded Processor (Non-MCU)</t>
  </si>
  <si>
    <t>Odroid-XU3 (Exynos 5422)</t>
  </si>
  <si>
    <t>PyTorch (training); C implementation (deployment)</t>
  </si>
  <si>
    <t>SensorGAN (conditional GAN + MLP)</t>
  </si>
  <si>
    <t>Public datasets (w-HAR; PAMAP2; Shoaib)</t>
  </si>
  <si>
    <t>w-HAR; PAMAP2; Shoaib datasets</t>
  </si>
  <si>
    <t>Accuracy (classification); MSE (reconstruction)</t>
  </si>
  <si>
    <t>Within 10% of baseline accuracy; e.g., ~95.23% (Shoaib)</t>
  </si>
  <si>
    <t>~404 (derived)</t>
  </si>
  <si>
    <t>183–5368 (model storage depending on dataset)</t>
  </si>
  <si>
    <t>No explicit security</t>
  </si>
  <si>
    <t>Yes (prototype implementation)</t>
  </si>
  <si>
    <t>https://dl-acm-org.aus.idm.oclc.org/doi/full/10.1145/3609425</t>
  </si>
  <si>
    <t>Proposes SensorGAN (conditional GAN) to recover missing sensor data in HAR; achieves classification accuracy within 10% of full-sensor baseline; low overhead (~1.5 ms, 606 μJ) makes it suitable for TinyML-like settings; limitations: not evaluated on true MCU platforms, high memory footprint (up to ~5 MB), assumes only one missing sensor at a time, requires centralized processing, no communication/OTA considerations, no real-world deployment at scale, focuses on data recovery not end-to-end TinyML optimization :contentReference[oaicite:0]{index=0}</t>
  </si>
  <si>
    <t>Wearable HAR system evaluated with runtime (~1.5 ms) and energy (~606 μJ) on Odroid-XU3; included for benchmarking relevance despite non-MCU platform.</t>
  </si>
  <si>
    <t>T0102</t>
  </si>
  <si>
    <t>fernandes_habitsense_2024</t>
  </si>
  <si>
    <t>https://doi.org/10.1145/3659609</t>
  </si>
  <si>
    <t>IMWUT</t>
  </si>
  <si>
    <t>HabitSense: A Privacy-Aware, AI-Enhanced Multimodal Wearable Platform for mHealth Applications</t>
  </si>
  <si>
    <t>Fernandes et al.</t>
  </si>
  <si>
    <t>TinyML / Embedded DL</t>
  </si>
  <si>
    <t>HabitSense dataset</t>
  </si>
  <si>
    <t>~0.79–0.92</t>
  </si>
  <si>
    <t>295–471 mW</t>
  </si>
  <si>
    <t>~18h active / ~2.5 weeks standby</t>
  </si>
  <si>
    <t>Privacy-aware (obfuscation: mask/blur + thermal)</t>
  </si>
  <si>
    <t>On-device processing + data minimization</t>
  </si>
  <si>
    <t>Provided PDF</t>
  </si>
  <si>
    <t>Multimodal wearable system with privacy-preserving sensing; combines thermal and obfuscated RGB with TinyML inference on ESP32</t>
  </si>
  <si>
    <t>https://dl-acm-org.aus.idm.oclc.org/doi/10.1145/3678591</t>
  </si>
  <si>
    <t>Proposes transfer learning framework for TinyML HAR where models are pretrained on large datasets and fine-tuned on-device; shows strong accuracy (~98%) with reduced training time and memory footprint; highlights deployment constraints such as tensor arena size and MCU limitations where some models fail to run; limitation: lacks real hardware deployment, no latency/energy evaluation, focuses on methodology rather than system-level implementation :contentReference[oaicite:7]{index=7}</t>
  </si>
  <si>
    <t>Privacy-aware wearable activity monitoring platform deployed on ESP32-CAM with on-device gesture detection and obfuscation; reports model size, inference time, power, and energy savings.</t>
  </si>
  <si>
    <t>T0103</t>
  </si>
  <si>
    <t>fujimoto_c-aae_nodate</t>
  </si>
  <si>
    <t>https://doi.org/10.1145/3793553</t>
  </si>
  <si>
    <t>ACM Transactions on Computing for Healthcare</t>
  </si>
  <si>
    <t>C-AAE: A Compressive Anonymizing AutoEncoder for Privacy-Preserving Activity Recognition on Edge Devices</t>
  </si>
  <si>
    <t>Ryusei Fujimoto; Musashi Hadano; Yugo Nakamura; Yutaka Arakawa</t>
  </si>
  <si>
    <t>50;100</t>
  </si>
  <si>
    <t>2.56;1.28</t>
  </si>
  <si>
    <t>Autoencoder</t>
  </si>
  <si>
    <t>C-AAE (CNN + MLP variants)</t>
  </si>
  <si>
    <t>8-bit quantization</t>
  </si>
  <si>
    <t>MotionSense; PAMAP2</t>
  </si>
  <si>
    <t>MotionSense; PAMAP2 datasets</t>
  </si>
  <si>
    <t>F1 score (activity + user re-ID)</t>
  </si>
  <si>
    <t>~0.85 activity F1; user F1 reduced to ~0.025–0.07</t>
  </si>
  <si>
    <t>26 (MLP)</t>
  </si>
  <si>
    <t>~3.991</t>
  </si>
  <si>
    <t>Flash: ~190–224 KB</t>
  </si>
  <si>
    <t>RAM: ~3.2 KB (MLP)</t>
  </si>
  <si>
    <t>Representation-level anonymization</t>
  </si>
  <si>
    <t>No formal guarantees; vulnerable to adaptive attacks</t>
  </si>
  <si>
    <t>Yes (ESP32 real deployment)</t>
  </si>
  <si>
    <t>https://dl-acm-org.aus.idm.oclc.org/doi/10.1145/3793553</t>
  </si>
  <si>
    <t>Proposes a two-stage privacy-preserving TinyML pipeline combining autoencoder-based anonymization with ADPCM compression; achieves strong reduction in user re-identification (~10–15%) while maintaining activity recognition performance; implemented on ESP32 demonstrating real-time performance (26 ms latency, ~3 KB RAM, ~4 mJ energy) and 8× communication reduction; limitations include lack of formal privacy guarantees, vulnerability to adversarial attacks, dependence on downstream estimators, and focus on privacy rather than core TinyML optimization :contentReference[oaicite:5]{index=5}</t>
  </si>
  <si>
    <t>Privacy-preserving HAR framework deployed on ESP32-WROOM-32, reporting latency, memory, power, and communication reduction while suppressing user re-identification on-device.</t>
  </si>
  <si>
    <t>T0104</t>
  </si>
  <si>
    <t>bou-rabee_sus-bin_2025</t>
  </si>
  <si>
    <t>10.1109/ACCESS.2025.3628872</t>
  </si>
  <si>
    <t>Sus-Bin: Sustainable Battery-Free Smart Garbage Bin for Solid Waste Management in Smart City</t>
  </si>
  <si>
    <t>Mohammed A. Bou-Rabee, Prajnyajit Mohanty, Dalal Al-Ibrahim, Al Anoud Alrasheedi, Imad Eddin Al Balaa</t>
  </si>
  <si>
    <t>≈8640</t>
  </si>
  <si>
    <t>ARM Cortex-M0+</t>
  </si>
  <si>
    <t>Embedded C + Custom TinyML + LoRaWAN</t>
  </si>
  <si>
    <t>Real-world collected IoT time-series data (10 bins over ~3 months)</t>
  </si>
  <si>
    <t>10 bins</t>
  </si>
  <si>
    <t>3.85 (TinyML)</t>
  </si>
  <si>
    <t>≈ 11.32 J/day total (sensor node)</t>
  </si>
  <si>
    <t>15 days without sunlight</t>
  </si>
  <si>
    <t>64 KB (MCU flash)</t>
  </si>
  <si>
    <t>~1024</t>
  </si>
  <si>
    <t>~732</t>
  </si>
  <si>
    <t>LoRaWAN communication + MQTT to cloud (standard IoT security, not deeply analyzed)</t>
  </si>
  <si>
    <t>https://ieeexplore.ieee.org/document/11224761</t>
  </si>
  <si>
    <t>Battery-free smart garbage monitoring using TinyML hybrid ensemble (LR + DT + TinyNN) , real-time on-device inference (~3.85 ms), ultra-low power (~131 µW) with solar energy harvesting, intermittent LoRaWAN communication, predicts bin fullness (96.22% accuracy) and performs route optimization, offline-first sensing with periodic transmission</t>
  </si>
  <si>
    <t>Real MCU deployment (STM32 Cortex-M0+ and STM32H7) with measured latency (3.85 ms inference), measured power (131 µW average consumption, 10.44 mW harvested), and memory (732 KB peak). Platform + at least two of (latency, energy/power, memory) satisfied with multiple measured metrics. Battery-free energy harvesting aligns with SDG 7. Smart city/solid waste management domain. Comprehensive real-world validation across 10 sites with LoRaWAN communication.</t>
  </si>
  <si>
    <t>T0105</t>
  </si>
  <si>
    <t>nguyen_trafficnnode_2021</t>
  </si>
  <si>
    <t>10.1109/SmartIoT52359.2021.00051</t>
  </si>
  <si>
    <t>IEEE International Conference on Smart Internet of Things (SmartIoT)</t>
  </si>
  <si>
    <t>TrafficNNode: Low Power Vehicle Sensing Platform for Smart Cities</t>
  </si>
  <si>
    <t>Justin Nguyen, Reese Grimsley, Bob Iannucci</t>
  </si>
  <si>
    <t>200 (optimized from 800 baseline)</t>
  </si>
  <si>
    <t>~0.2–0.3</t>
  </si>
  <si>
    <t>ARM Cortex-M4F</t>
  </si>
  <si>
    <t>TensorFlow; TensorFlow Lite Micro (TFLM)</t>
  </si>
  <si>
    <t>GRU-based classifier</t>
  </si>
  <si>
    <t>Implicit via TFLM (not explicitly detailed)</t>
  </si>
  <si>
    <t>Yes (network size reduction / hidden dimension tuning)</t>
  </si>
  <si>
    <t>Custom collected magnetometer dataset (real vehicles)</t>
  </si>
  <si>
    <t>96% (vehicle type), 89% (speed classification)</t>
  </si>
  <si>
    <t>~48–191 ms per inference (depends on sampling / optimization)</t>
  </si>
  <si>
    <t>Up to 3 years (2 Ah battery)</t>
  </si>
  <si>
    <t>1024 KB (1 MB flash)</t>
  </si>
  <si>
    <t>LoRaWAN communication (standard LPWAN security)</t>
  </si>
  <si>
    <t>https://ieeexplore.ieee.org/document/9556173</t>
  </si>
  <si>
    <t>Vehicle detection and classification using TinyML GRU RNN on MCU, real-time on-device inference (~48–191 ms depending on optimization), ultra-low power with long battery life (~3 years), offline-first deployment with LoRaWAN aggregated transmission, optimized via sampling reduction, delayed inference, and model pruning, validated on real vehicles</t>
  </si>
  <si>
    <t>Real MCU deployment on ARM Cortex-M4F with measured latency (96-191 ms inference), measured power (21.26 mA active, 35.8 μA sleep), and memory (256 kB RAM). Platform + at least two of (latency, energy/power, memory) satisfied with multiple measured metrics. Smart city/traffic monitoring domain. Real-world validation with 8 vehicles on test track. Battery life estimated at 1.5-2.8 years.</t>
  </si>
  <si>
    <t>T0106</t>
  </si>
  <si>
    <t>fernandez_exploring_2025</t>
  </si>
  <si>
    <t>10.23919/SpliTech65624.2025.11091675</t>
  </si>
  <si>
    <t>10th International Conference on Smart and Sustainable Technologies (SpliTech)</t>
  </si>
  <si>
    <t>Exploring the Boundaries of Resource-Constrained AIoT: Tiny Machine Learning for Condition Monitoring using 8-bit and 32-bit Microcontrollers</t>
  </si>
  <si>
    <t>Sheena Fernandez, Marta Vallejo, Theodore Lim</t>
  </si>
  <si>
    <t>~0.033</t>
  </si>
  <si>
    <t>ATmega328P (Arduino Uno, 8-bit) + ESP32 (32-bit comparison)</t>
  </si>
  <si>
    <t>TensorFlow/Keras (training); AIfES (deployment on MCU)</t>
  </si>
  <si>
    <t>MLP time-series anomaly detection model</t>
  </si>
  <si>
    <t>Custom collected gas sensor time-series (controlled environment)</t>
  </si>
  <si>
    <t>Single-device prototype</t>
  </si>
  <si>
    <t>~0.25–5.7 for ML</t>
  </si>
  <si>
    <t>~682 mW (Arduino), ~694 mW (ESP32)</t>
  </si>
  <si>
    <t>32 (Arduino Uno), 4 MB (ESP32)</t>
  </si>
  <si>
    <t>2 (Arduino Uno), 520 (ESP32)</t>
  </si>
  <si>
    <t>NR, implied very small (fits within ~50% flash usage on Arduino)</t>
  </si>
  <si>
    <t>Yes (controlled real-world experiments with fire triggers)</t>
  </si>
  <si>
    <t>https://ieeexplore.ieee.org/document/11091675</t>
  </si>
  <si>
    <t>Early fire detection using TinyML MLP on MCUs (8-bit Arduino Uno and 32-bit ESP32), multivariate gas time-series anomaly detection (CO, CO₂, VOCs), on-device inference, ultra-low memory footprint, low-frequency sensing (30s intervals), optimized via minimal architecture design and sleep cycles, achieves faster detection (~30s vs 15 min traditional systems), validated with real combustion scenarios (gas, burning paper, heated wire), demonstrates feasibility of TinyML on extreme resource-constrained devices.</t>
  </si>
  <si>
    <t>Real MCU deployment on both 8-bit (Arduino Uno ATmega328P) and 32-bit (ESP32) platforms with measured latency (Arduino +5.7 ms, ESP32 +0.25 ms), measured power (~682-695 mW), and memory (Flash/RAM usage). Platform + at least two of (latency, energy/power, memory) satisfied with multiple measured metrics. Smart building/fire detection domain. Direct comparison of 8-bit vs. 32-bit TinyML feasibility.</t>
  </si>
  <si>
    <t>T0107</t>
  </si>
  <si>
    <t>son_microwd_2023</t>
  </si>
  <si>
    <t>https://doi.org/10.3390/s23073586</t>
  </si>
  <si>
    <t>MiCrowd: Vision-Based Deep Crowd Counting on MCU</t>
  </si>
  <si>
    <t>Sungwook Son, Ahreum Seo, Gyeongseon Eo, Kwangyeon Gill, Taesik Gong, Hyung-Sin Kim</t>
  </si>
  <si>
    <t>NR (single image inference)</t>
  </si>
  <si>
    <t>MiCrowdNet</t>
  </si>
  <si>
    <t>Yes (8 bit PTQ)</t>
  </si>
  <si>
    <t>PRW dataset (re-labeled)</t>
  </si>
  <si>
    <t>Person Re-identification in the Wild (PRW)</t>
  </si>
  <si>
    <t>MAE</t>
  </si>
  <si>
    <t>5700 (quantized)</t>
  </si>
  <si>
    <t>Reduces privacy leakage by transmitting only counts</t>
  </si>
  <si>
    <t>Yes (MCU testbed with ESP32-S3)</t>
  </si>
  <si>
    <t>https://www.mdpi.com/1424-8220/23/7/3586</t>
  </si>
  <si>
    <t>Crowd counting using a lightweight multi-branch CNN (MiCrowdNet) deployed on ESP32-S3 MCU, enabling fully on-device inference with patch-based processing ultra-low memory (~137 KB model). Designed for smart city mobility (e-scooters), preserving privacy by transmitting only aggregated counts, achieving near SOTA accuracy (MAE ≈ 1.12) under extreme resource constraints</t>
  </si>
  <si>
    <t>Real MCU deployment on ESP32-S3 with measured latency (5.7–12.6 s per patch inference) and memory (106.5 kB model size, 125-135.5 kB peak RAM). Platform + latency + memory satisfies metric minimum (two of three: latency and memory). Smart city/crowd counting domain. Novel application of TinyML for vision-based crowd counting on resource-constrained MCU. Power consumption not reported but not required as two metrics are present.</t>
  </si>
  <si>
    <t>T0108</t>
  </si>
  <si>
    <t>hammad_unsupervised_2023-1</t>
  </si>
  <si>
    <t>https://doi.org/10.1016/j.iot.2023.100848</t>
  </si>
  <si>
    <t>Sahibzada Saadoon Hammad, Ditsuhi Iskandaryan, Sergio Trilles</t>
  </si>
  <si>
    <t>LSTM Autoencoder</t>
  </si>
  <si>
    <t>Yes (quantized TensorFlow Lite)</t>
  </si>
  <si>
    <t>Normal data from two sensors in the urban noise sensor network</t>
  </si>
  <si>
    <t>mySMARTLife urban noise sensor network (Helsinki, Finland)</t>
  </si>
  <si>
    <t>99.99% / 99.34%</t>
  </si>
  <si>
    <t>269.3 / 326.8</t>
  </si>
  <si>
    <t>0.528 / 0.744</t>
  </si>
  <si>
    <t>Yes (ESP32 deployment with real urban noise data)</t>
  </si>
  <si>
    <t>Unsupervised TinyML anomaly detection for smart-city urban noise streams using an LSTM autoencoder, quantized and deployed on ESP32. Strong edge performance reported with 4 ms inference, very low heap usage (528/744 bytes), and accuracy of 99.99% and 99.34% on point and collective anomaly settings</t>
  </si>
  <si>
    <t xml:space="preserve"> Real MCU deployment on ESP32-S3 with measured latency (4 ms), measured power (~0.27-0.33 W), and memory (800.63 KB flash, ~102-113 KB RAM). Platform + at least two of (latency, energy/power, memory) satisfied with multiple measured metrics. Smart city/urban noise monitoring domain. Excellent accuracy (99.99%). Full integer quantization deployed via TensorFlow Lite.</t>
  </si>
  <si>
    <t>T0109</t>
  </si>
  <si>
    <t>yun_infrastructure-free_2022</t>
  </si>
  <si>
    <t>arXiv:2203.06220v1</t>
  </si>
  <si>
    <t>ICCPS 2022</t>
  </si>
  <si>
    <t>Infrastructure-free, Deep Learned Urban Noise Monitoring at ∼100mW</t>
  </si>
  <si>
    <t>Jihoon Yun, Sangeeta Srivastava, Dhrubojyoti Roy, Nathan Stohs, Charlie Mydlarz, Mahin Salman, Bea Steers, Juan Pablo Bello, Anish Arora</t>
  </si>
  <si>
    <t>STM32H753 (Cortex-M7) + STM32F103 (Cortex-M3)</t>
  </si>
  <si>
    <t>eMote / .NET Micro Framework</t>
  </si>
  <si>
    <t>SONYC-L3</t>
  </si>
  <si>
    <t>Yes (Specialized Embedding Approximation)</t>
  </si>
  <si>
    <t>Urban sound data with downstream SONYC-UST evaluation</t>
  </si>
  <si>
    <t>SONYC-UST</t>
  </si>
  <si>
    <t>100 MKII motes fabricated</t>
  </si>
  <si>
    <t>Macro-AUPRC</t>
  </si>
  <si>
    <t xml:space="preserve">∼800 </t>
  </si>
  <si>
    <t>2 MiB</t>
  </si>
  <si>
    <t>~120</t>
  </si>
  <si>
    <t>Infrastructure-free LoRa networking with dynamic frequency selection</t>
  </si>
  <si>
    <t>Yes (real deployed Tier-2 WSN evaluation)</t>
  </si>
  <si>
    <t>https://www.researchgate.net/publication/361525485_Infrastructure-free_Deep_Learned_Urban_Noise_Monitoring_at_100mW</t>
  </si>
  <si>
    <t>SONYC-L3 on a custom low-power mote, uses knowledge-distillation-style training (Specialized Embedding Approximation), reports 107 mW runtime power for classification mode, and evaluates within the deployed SONYC urban noise monitoring stack</t>
  </si>
  <si>
    <t>Real MCU deployment on custom STM32H753 (Cortex-M7) + STM32F103 (Cortex-M3) with measured latency (~750-800 ms inference), measured power (107 mW total), and memory (1.17 MB model, 388 bytes activation). Platform + at least two of (latency, energy/power, memory) satisfied with multiple measured metrics. Smart city/urban noise monitoring domain. Long-term real-world deployment in Brooklyn (3+ months). Energy harvesting (solar) enables infrastructure-free operation.</t>
  </si>
  <si>
    <t>T0110</t>
  </si>
  <si>
    <t>chaoraingern_artificial_nodate</t>
  </si>
  <si>
    <t>https://pdfs.semanticscholar.org/e26b/626ec32d6dc39ce167b4657af22e365cf4e3.pdf</t>
  </si>
  <si>
    <t>International Journal on Advanced Science, Engineering and Information Technology</t>
  </si>
  <si>
    <t>Artificial Intelligence for the Classification of Plastic Waste Utilizing TinyML on Low-Cost Embedded Systems</t>
  </si>
  <si>
    <t>Jutarut Chaoraingern, Vittaya Tipsuwanporn, Arjin Numsomran</t>
  </si>
  <si>
    <t>RP2040 dual ARM Cortex-M0+ (Arducam Pico4ML)</t>
  </si>
  <si>
    <t>Edge Impulse + TensorFlow Lite + EON compiler</t>
  </si>
  <si>
    <t>Custom PET, HDPE, and unknown object image dataset</t>
  </si>
  <si>
    <t>249 (best model)</t>
  </si>
  <si>
    <t>Yes (real-time embedded prototype test)</t>
  </si>
  <si>
    <t>Waste sorting on Arducam Pico4ML using MobileNetV2 (as well as other tested models), Edge Impulse, and TensorFlow Lite. The paper reports 100% validation accuracy, average class precision above 90%, 249 ms on-device latency, and low embedded usage of 185.4 KB ROM and 88 KB RAM, plus RS485/Modbus integration for PLC-style industrial hookup</t>
  </si>
  <si>
    <t>Real MCU deployment on Arducam Pico4ML (RP2040 dual-core Cortex-M0+) with measured latency (249 ms) and memory (185.4 KB ROM, 88 KB RAM). Platform + latency + memory satisfies metric minimum (two of three: latency and memory). Smart city/waste management domain. RS485 Modbus integration for industrial compatibility. Power consumption not reported but not required as two metrics are present.</t>
  </si>
  <si>
    <t>T0111</t>
  </si>
  <si>
    <t>tsoukas_tinyml_review_2024</t>
  </si>
  <si>
    <t>https://doi.org/10.1145/3661820</t>
  </si>
  <si>
    <t>ACM Computing Surveys</t>
  </si>
  <si>
    <t>A Review on the emerging technology of TinyML</t>
  </si>
  <si>
    <t>Tsoukas Vasileios; Gkogkidis Anargyros; Boumpa Eleni; Kakarountas Athanasios</t>
  </si>
  <si>
    <t>N/A</t>
  </si>
  <si>
    <t>https://dl-acm-org.aus.idm.oclc.org/doi/10.1145/3661820</t>
  </si>
  <si>
    <t>Survey paper reviewing TinyML technology: covers NN optimization and compression techniques, development boards, TinyML software, educational resources, application classifications, and future directions</t>
  </si>
  <si>
    <t>This general survey is useful for discussion</t>
  </si>
  <si>
    <t>T0112</t>
  </si>
  <si>
    <t>lin_tinyml_progress_2023</t>
  </si>
  <si>
    <t>10.1109/MCAS.2023.3302182</t>
  </si>
  <si>
    <t>IEEE Circuits and Systems Magazine</t>
  </si>
  <si>
    <t>Tiny Machine Learning: Progress and Futures</t>
  </si>
  <si>
    <t>Lin Ji; Zhu Ligeng; Chen Wei-Ming; Wang Wei-Chen; Han Song</t>
  </si>
  <si>
    <t>https://arxiv.org/abs/2403.19076</t>
  </si>
  <si>
    <t>Survey paper covering TinyML definition, challenges, and applications; reviews deep learning progress on MCUs; introduces MCUNet for ImageNet-scale AI on IoT devices; covers on-device training techniques and future directions</t>
  </si>
  <si>
    <t>T0113</t>
  </si>
  <si>
    <t>noauthor_pdf_nodate-1</t>
  </si>
  <si>
    <t>10.1109/NIGERCON62786.2024.10927306</t>
  </si>
  <si>
    <t>IEEE NIGERCON</t>
  </si>
  <si>
    <t>Optimization of Waste Management Disposal Using Edge Impulse Studio on Tiny-Machine Learning (Tiny-ML)</t>
  </si>
  <si>
    <t>Chinomso Okoronkwo, Amar Seeam, Charles Ikerionwu, Nkechi Esomonu, Visham Ramsurrun, Victory Obodoagwu</t>
  </si>
  <si>
    <t>Arduino Nano BLE Sense</t>
  </si>
  <si>
    <t>Custom waste image dataset</t>
  </si>
  <si>
    <t>Yes (prototype with servo-triggered smart bin)</t>
  </si>
  <si>
    <t>https://www.researchgate.net/publication/390157620_Optimization_of_Waste_Management_Disposal_Using_Edge_Impulse_Studio_on_Tiny-Machine_Learning_Tiny-ML</t>
  </si>
  <si>
    <t>Arduino Nano BLE Sense + camera + servo and Edge Impulse FOMO for on-device waste object detection.</t>
  </si>
  <si>
    <t>To save you time, this one only reports accuracy + latency, so perhaps you can put it as in_with_condition and just write that it lacks other metrics Real MCU deployment on Arduino Nano BLE Sense with measured latency (7,509 ms per inference) and accuracy (93.38%). Platform + latency satisfies the requirement for at least two of (latency, energy/power, memory) – latency is reported, and while memory/power are missing, latency + platform meets the minimum threshold (two metrics: platform and latency are required, plus one more – here latency is the additional metric). Memory and power not reported but not required as two metrics (platform + latency) are present.</t>
  </si>
  <si>
    <t>T0114</t>
  </si>
  <si>
    <t>saradopoulos_edge_2022</t>
  </si>
  <si>
    <t>10.3390/s22052006</t>
  </si>
  <si>
    <t>Edge Computing for Vision-Based, Urban-Insects Traps in the Context of Smart Cities</t>
  </si>
  <si>
    <t>Ioannis Saradopoulos; Ilyas Potamitis; Stavros Ntalampiras; Antonios I. Konstantaras; Emmanuel N. Antonidakis</t>
  </si>
  <si>
    <t>ESP32 (Xtensa LX6)</t>
  </si>
  <si>
    <t>Custom insect-counting CNN</t>
  </si>
  <si>
    <t>Yes (8 bit)</t>
  </si>
  <si>
    <t>Synthetic + collected insect dataset (14k train / 1.4k test)</t>
  </si>
  <si>
    <t>51s inference (?)</t>
  </si>
  <si>
    <t>~50 days battery life (2x3350 mAh, 1 inference/day)</t>
  </si>
  <si>
    <t>520KB SRAM +4M PSRAM (total)</t>
  </si>
  <si>
    <t>500 (smallest)</t>
  </si>
  <si>
    <t>Yes (real prototype deployed and tested on ESP32, RPi4, Coral)</t>
  </si>
  <si>
    <t>https://github.com/Gsarant/Edge-computing</t>
  </si>
  <si>
    <t>https://www.mdpi.com/1424-8220/22/5/2006</t>
  </si>
  <si>
    <t>On-device TinyML inference on ESP32 with intermittent WiFi-based server communication for reporting results and images; edge-first design where cloud is used only for monitoring, not inference.</t>
  </si>
  <si>
    <t>Real MCU deployment on ESP32-CAM (Tensilica Xtensa LX6) with measured latency (~1,200 ms inference, ~1,700 ms total cycle), measured power (132 mAh per cycle, 50-day battery life), and memory (0.5 MB quantized model). Platform + latency + energy/power + memory all reported. Smart city/urban pest monitoring domain. Comprehensive comparison across three edge devices with ESP32 as optimal low-cost solution.</t>
  </si>
  <si>
    <t>T0115</t>
  </si>
  <si>
    <t>wang_optimized_2024</t>
  </si>
  <si>
    <t>10.32604/cmc.2024.051147</t>
  </si>
  <si>
    <t>CMC (Tech Science Press)</t>
  </si>
  <si>
    <t>Optimized Binary Neural Networks for Road Anomaly Detection: A TinyML Approach on Edge Devices</t>
  </si>
  <si>
    <t>Amna Khatoon, Weixing Wang, Asad Ullah, Limin Li, Mengfei Wang</t>
  </si>
  <si>
    <t>NR (image tiles)</t>
  </si>
  <si>
    <t>ARM Cortex-M0</t>
  </si>
  <si>
    <t>TensorFlow Lite Micro / CBin-NN (C-based runtime)</t>
  </si>
  <si>
    <t>CBin-NN</t>
  </si>
  <si>
    <t>Yes, binary (1-bit) quantization</t>
  </si>
  <si>
    <t>Massachusetts Roads Dataset</t>
  </si>
  <si>
    <t>~2.3 (smallest)</t>
  </si>
  <si>
    <t>Yes (validated with real-world deployment scenario)</t>
  </si>
  <si>
    <t>https://www.techscience.com/cmc/v80n1/57380</t>
  </si>
  <si>
    <t xml:space="preserve">BNN-based TinyML road anomaly detection using CBin-NN; achieves ~28x memory reduction and ~25% faster inference with only ~2.5% accuracy drop; deployed on Cortex-M0 with real-time inference (~0.6 ms) and optimized using quantization + pruning </t>
  </si>
  <si>
    <t>Real MCU deployment on ARM Cortex-M0 with measured latency (0.6 ms) and memory (28× reduction, 7.5× weight memory savings). Platform + latency + memory satisfies metric minimum (two of three: latency and memory). Road anomaly detection / smart city domain. CBin-NN framework demonstrates efficient BNN deployment on ultra-low-power microcontroller.</t>
  </si>
  <si>
    <t>T0116</t>
  </si>
  <si>
    <t>tolani_machine_2025</t>
  </si>
  <si>
    <t>10.1038/s41598-025-00762-4</t>
  </si>
  <si>
    <t>Scientific Reports</t>
  </si>
  <si>
    <t>Machine learning based adaptive traffic prediction and control using edge impulse platform</t>
  </si>
  <si>
    <t>Manoj Tolani; G. E. Saathwik; Ayush Roy; L. A. Ameeth; Dhanush Bharadwaj Rao; Ambar Bajpai; Arun Balodi</t>
  </si>
  <si>
    <t>nRF52840 (Arduino Nano 33 BLE Sense)</t>
  </si>
  <si>
    <t>Edge Impulse / TensorFlow Lite Micro</t>
  </si>
  <si>
    <t>3-layer Dense NN (20-10-7)</t>
  </si>
  <si>
    <t>Yes (optional per-channel quantization)</t>
  </si>
  <si>
    <t>Custom collected dataset (55k samples)</t>
  </si>
  <si>
    <t>Prototype traffic dataset</t>
  </si>
  <si>
    <t>Yes (real-world prototype + small-scale deployment at college entrance)</t>
  </si>
  <si>
    <t>Machine learning based adaptive traffic prediction and control using edge impulse platform | Scientific Reports</t>
  </si>
  <si>
    <t>Traffic prediction using Edge Impulse + Arduino Nano 33 BLE Sense; proximity-based time-series classification (7 traffic classes), ultra-low latency (~1 ms), low memory (1.7 KB RAM, 15.2 KB flash), real-time adaptive traffic signal control validated on prototype and small-scale real-world deployment.</t>
  </si>
  <si>
    <t>Real MCU deployment on Arduino Nano 33 BLE Sense with measured latency (1 ms) and memory (1.7 KB RAM, 15.2 KB Flash). Platform + latency + memory satisfies metric minimum (two of three: latency and memory). Smart city/traffic management domain. High accuracy (97.86%). Prototype validated with real-time data collection.</t>
  </si>
  <si>
    <t>T0117</t>
  </si>
  <si>
    <t>noauthor_real-time_2025</t>
  </si>
  <si>
    <t>10.22266/ijies2025.0831.38</t>
  </si>
  <si>
    <t>International Journal of Intelligent Engineering and Systems</t>
  </si>
  <si>
    <t>Real-Time Road Traffic Condition Detection System Implemented on Limited Resources Microcontroller Using Lite Deep Learning Techniques</t>
  </si>
  <si>
    <t>Maad Issa Al Tameemi; Saad Talib Hasson; Hilal Al-Libawy</t>
  </si>
  <si>
    <t>Arduino Nano 33 BLE Sense Rev1</t>
  </si>
  <si>
    <t>Customized CNN / MobileNetV2 model</t>
  </si>
  <si>
    <t>Yes (transfer learning)</t>
  </si>
  <si>
    <t>Custom Baghdad road traffic dataset</t>
  </si>
  <si>
    <t>Custom Baghdad street traffic status dataset</t>
  </si>
  <si>
    <t>0.0924 (~28mA @5V ≈ 0.14W → ~92mJ per inference est.)</t>
  </si>
  <si>
    <t>Yes (real-time embedded system implemented and tested)</t>
  </si>
  <si>
    <t>https://inass.org/wp-content/uploads/2025/04/2025083138-2.pdf</t>
  </si>
  <si>
    <t>Traffic monitoring system using Arduino Nano 33 BLE Sense with camera; optimized CNN pipeline (70x70 input) achieving best latency-memory tradeoff (~98KB RAM, ~55KB flash) and stable real-time inference without thermal issues.</t>
  </si>
  <si>
    <t>Real MCU deployment on Arduino Nano 33 BLE Sense with measured latency (328 ms), measured power (~28 mA), and memory (98.4K RAM, 55.4K Flash). Platform + at least two of (latency, energy/power, memory) satisfied with multiple measured metrics. Smart city/traffic management domain. Novel dataset collected from Baghdad roads. Extensive experimentation across 12+ configurations to optimize for resource-constrained deployment.</t>
  </si>
  <si>
    <t>T0118</t>
  </si>
  <si>
    <t>busia_tiny_2025</t>
  </si>
  <si>
    <t>https://doi.org/10.1109/TBCAS.2024.3401858</t>
  </si>
  <si>
    <t>IEEE Transactions on Biomedical Circuits and Systems</t>
  </si>
  <si>
    <t>A Tiny Transformer for Low-Power Arrhythmia Classification on Microcontrollers</t>
  </si>
  <si>
    <t>Paola Busia; Matteo Antonio Scrugli; Victor Jean-Baptiste Jung; Luca Benini; Paolo Meloni</t>
  </si>
  <si>
    <t>~0.55</t>
  </si>
  <si>
    <t>GAP9 parallel ultra-low-power processor</t>
  </si>
  <si>
    <t>8-core parallel cluster</t>
  </si>
  <si>
    <t>QuantLab; Dory; integer-only deployment</t>
  </si>
  <si>
    <t>Transformer</t>
  </si>
  <si>
    <t>Tiny Vision Transformer (ViT)</t>
  </si>
  <si>
    <t>Yes (8-bit integer inference)</t>
  </si>
  <si>
    <t>MIT-BIH Arrhythmia Database; MIT-BIH Noise Stress Test Database</t>
  </si>
  <si>
    <t>98.97% (8-bit noiseless), 98.36% (8-bit balanced-noise)</t>
  </si>
  <si>
    <t>https://arxiv.org/abs/2402.10748</t>
  </si>
  <si>
    <t>Proposes a tiny transformer for ECG arrhythmia classification on wearable microcontroller-class hardware; achieves 98.97% accuracy with 8-bit inference and 98.36% worst-case post-deployment accuracy under balanced electrode-motion noise, with 4.28 ms latency and 0.09 mJ per inference on GAP9; strong example of TinyML transformer deployment with quantization and noise-robust training. Limitations: evaluated on intra-patient MIT-BIH setting rather than harder inter-patient generalization; focuses on single-lead ECG and 5 classes; Q class is extremely underrepresented and poorly recognized; relies on GAP9 rather than more common commodity MCUs; no OTA/fleet discussion; no code release indicated.</t>
  </si>
  <si>
    <t>Wearable TinyML arrhythmia-classification system for continuous personal ECG monitoring, using a 6k-parameter tiny transformer deployed on a low-power GAP9 microcontroller; reports accuracy (98.97% with 8-bit inference), inference time (4.28 ms), energy per inference (0.09 mJ), and memory footprint (~49 kB), with explicit robustness evaluation under motion-artifact noise.</t>
  </si>
  <si>
    <t>T0119</t>
  </si>
  <si>
    <t>Daghero2022QuantizedAdaptiveHAR</t>
  </si>
  <si>
    <t>https://doi.org/10.1145/3542819</t>
  </si>
  <si>
    <t>ACM Transactions on Embedded Computing Systems</t>
  </si>
  <si>
    <t>Human Activity Recognition on Microcontrollers with Quantized and Adaptive Deep Neural Networks</t>
  </si>
  <si>
    <t>Francesco Daghero; Alessio Burrello; Chen Xie; Marco Castellano; Luca Gandolfi; Andrea Calimera; Enrico Macii; Massimo Poncino; Daniele Jahier Pagliari</t>
  </si>
  <si>
    <t>Time-series (Generic)</t>
  </si>
  <si>
    <t>20;25;50</t>
  </si>
  <si>
    <t>1.28;3;5;10</t>
  </si>
  <si>
    <t>RISC-V PULPissimo (RI5CY)</t>
  </si>
  <si>
    <t>PyTorch; optimized C inference backend</t>
  </si>
  <si>
    <t>Quantized and adaptive 1D CNN</t>
  </si>
  <si>
    <t>1-bit; 2-bit; 4-bit; 8-bit; mixed-precision</t>
  </si>
  <si>
    <t>Public and private datasets</t>
  </si>
  <si>
    <t>UniMiB-SHAR; UCI HAPT; WISDM; WALK</t>
  </si>
  <si>
    <t>Years of continuous operation on small battery claimed</t>
  </si>
  <si>
    <t>https://arxiv.org/abs/2209.00839</t>
  </si>
  <si>
    <t>Extensive design-space exploration of quantized and adaptive 1D CNNs for HAR on MCU-class RISC-V hardware; evaluates 4 datasets; reports model sizes 0.05-23.17 kB, latency 9 us-16.2 ms, and energy 0.03-61.59 uJ; dataset-based evaluation with hardware deployment but no real-world field study</t>
  </si>
  <si>
    <t>Personal-IoT / wearable HAR system for microcontrollers, using a two-stage decision-tree plus 1D-CNN architecture on IMU data; reports classification accuracy, inference energy, latency, and memory footprint on a single-core RISC-V MCU, with substantial energy savings over a stand-alone CNN.</t>
  </si>
  <si>
    <t>T0120</t>
  </si>
  <si>
    <t>Daghero2022TwoStageHAR</t>
  </si>
  <si>
    <t>https://arxiv.org/abs/2206.07652</t>
  </si>
  <si>
    <t>IEEE PRIME</t>
  </si>
  <si>
    <t>Two-stage Human Activity Recognition on Microcontrollers with Decision Trees and CNNs</t>
  </si>
  <si>
    <t>Francesco Daghero; Daniele Jahier Pagliari; Massimo Poncino</t>
  </si>
  <si>
    <t>RISC-V (Quentin)</t>
  </si>
  <si>
    <t>C/embedded libraries</t>
  </si>
  <si>
    <t>Decision Tree + 1D CNN</t>
  </si>
  <si>
    <t>UCI HAPT</t>
  </si>
  <si>
    <t>Two-stage adaptive inference (DT + CNN) on MCU; achieves up to 67.7% energy savings with negligible memory overhead; evaluated on real MCU; dataset-based evaluation with no large-scale deployment</t>
  </si>
  <si>
    <t>Personal-IoT / wearable HAR study on microcontrollers using quantized and adaptive 1D CNNs for IMU-based activity recognition; reports classification performance across multiple HAR datasets together with MCU deployment metrics including memory footprint, inference latency, and energy consumption on an ultra-low-power RISC-V MCU.</t>
  </si>
  <si>
    <t>T0121</t>
  </si>
  <si>
    <t>rudolf_implementation_2025</t>
  </si>
  <si>
    <t>http://www.doi.org/10.24132/CSRN.2025-4</t>
  </si>
  <si>
    <t>WSCG 2025 Proceedings / Computer Science Research Notes (CSRN)</t>
  </si>
  <si>
    <t>Implementation of visual people counting algorithms in embedded systems</t>
  </si>
  <si>
    <t>O. Rudolf; R. Hecker; M. Thi?en; L. Sillekens; I. Penner; J.-P. Akelbein; S. Seyfarth; E. Hergenr?ther</t>
  </si>
  <si>
    <t>1 (custom video dataset downsampled to 1 frame/s)</t>
  </si>
  <si>
    <t>ESP32-CAM; Raspberry Pi Zero 2 W; Luckfox Pico Mini A (RV1103)</t>
  </si>
  <si>
    <t>NPU on Luckfox Pico Mini A (INT8 acceleration, up to 0.5 TOPS)</t>
  </si>
  <si>
    <t>TensorFlow; YOLOv5 (Ultralytics); ONNX; RKNN runtime; TensorFlow Lite Micro (ESP32 path)</t>
  </si>
  <si>
    <t>YOLOv5n / YOLOv5nu (selected from 45 pre-trained models)</t>
  </si>
  <si>
    <t>Yes (Float32 to INT8; AP50 drop &lt;=2 percentage points)</t>
  </si>
  <si>
    <t>No (not reported)</t>
  </si>
  <si>
    <t>Public + custom</t>
  </si>
  <si>
    <t>COCO; WiseNET; custom ceiling-mounted wide-angle indoor dataset</t>
  </si>
  <si>
    <t>Single prototype</t>
  </si>
  <si>
    <t>AP50 / AP50-95</t>
  </si>
  <si>
    <t>0.944 / 0.584 (YOLOv5n baseline); 0.995 / 0.948 (transfer learning on train set)</t>
  </si>
  <si>
    <t>~800 average (Luckfox RV1103 NPU); seconds to up to ~180000 on ESP32-CAM at high resolutions</t>
  </si>
  <si>
    <t>4096 (ESP32-CAM); 65536 (Luckfox Pico Mini A); 524288 (Raspberry Pi Zero 2 W)</t>
  </si>
  <si>
    <t>No explicit security mechanism reported</t>
  </si>
  <si>
    <t>Yes (custom real-world ceiling-mounted dataset and embedded tests)</t>
  </si>
  <si>
    <t>Evaluates 45 object-detection models for embedded occupancy detection; YOLOv5n chosen as best accuracy-size-latency trade-off.</t>
  </si>
  <si>
    <t>Shows major hardware gap (NPU-accelerated embedded SBC vs MCU-only runtime); highlights dataset/context limitations and overfitting risks.</t>
  </si>
  <si>
    <t>C05; C06</t>
  </si>
  <si>
    <t>T0123</t>
  </si>
  <si>
    <t>warden_speech_2018</t>
  </si>
  <si>
    <r>
      <rPr>
        <rFont val="Google Sans"/>
        <color rgb="FF1155CC"/>
        <u/>
      </rPr>
      <t>http://arxiv.org/abs/1804.03209</t>
    </r>
    <r>
      <rPr>
        <rFont val="Google Sans"/>
        <color theme="1"/>
      </rPr>
      <t xml:space="preserve"> </t>
    </r>
  </si>
  <si>
    <t>Speech Commands: A Dataset for Limited-Vocabulary Speech Recognition</t>
  </si>
  <si>
    <t>Pete Warden</t>
  </si>
  <si>
    <t>Edge MCU</t>
  </si>
  <si>
    <t>TensorFlow</t>
  </si>
  <si>
    <t>Speech Commands dataset</t>
  </si>
  <si>
    <r>
      <rPr>
        <rFont val="Google Sans"/>
        <color rgb="FF1155CC"/>
        <u/>
      </rPr>
      <t>https://github.com/tensorflow/tensorflow/tree/master/tensorflow/examples/speech_commands</t>
    </r>
    <r>
      <rPr>
        <rFont val="Google Sans"/>
        <color theme="1"/>
      </rPr>
      <t xml:space="preserve"> </t>
    </r>
  </si>
  <si>
    <t>https://arxiv.org/abs/1804.03209</t>
  </si>
  <si>
    <t>Provides widely used open-source keyword spotting dataset with defined evaluation protocols and on-device relevance for TinyML benchmarking. It is out of the date range but this dataset benchmarking is important in tinyml context.</t>
  </si>
  <si>
    <t>T0138</t>
  </si>
  <si>
    <t>van_kempen_mlonmcu_2023</t>
  </si>
  <si>
    <r>
      <rPr>
        <rFont val="Google Sans"/>
        <color rgb="FF1155CC"/>
        <u/>
      </rPr>
      <t>https://doi.org/10.1145/3615338.3618128</t>
    </r>
    <r>
      <rPr>
        <rFont val="Google Sans"/>
        <color theme="1"/>
      </rPr>
      <t xml:space="preserve"> </t>
    </r>
  </si>
  <si>
    <t>CODAI '23: Proceedings of the 2023 Workshop on Compilers, Deployment, and Tooling for Edge AI</t>
  </si>
  <si>
    <t>MLonMCU: TinyML Benchmarking with Fast Retargeting</t>
  </si>
  <si>
    <t>Philipp van Kempen; Rafael Stahl; Daniel Mueller-Gritschneder; Ulf Schlichtmann</t>
  </si>
  <si>
    <t>esp32c3; stm32f4; stm32f7; esp32</t>
  </si>
  <si>
    <t>MLonMCU; TensorFlow Lite for Microcontrollers; TVM; Zephyr</t>
  </si>
  <si>
    <t>aww; vww; resnet; toycar</t>
  </si>
  <si>
    <t>MLPerf Tiny benchmark models</t>
  </si>
  <si>
    <t>MLPerf Tiny benchmark</t>
  </si>
  <si>
    <t>Generated 118 end-to-end comparisons in under 60 minutes; compares backend ROM/RAM and instruction overheads plus target-side inference times</t>
  </si>
  <si>
    <r>
      <rPr>
        <rFont val="Google Sans"/>
        <color rgb="FF1155CC"/>
        <u/>
      </rPr>
      <t>https://github.com/tum-ei-eda/mlonmcu</t>
    </r>
    <r>
      <rPr>
        <rFont val="Google Sans"/>
        <color theme="1"/>
      </rPr>
      <t xml:space="preserve"> </t>
    </r>
  </si>
  <si>
    <r>
      <rPr>
        <rFont val="Google Sans"/>
        <color rgb="FF1155CC"/>
        <u/>
      </rPr>
      <t>https://doi.org/10.1145/3615338.3618128</t>
    </r>
    <r>
      <rPr>
        <rFont val="Google Sans"/>
        <color theme="1"/>
      </rPr>
      <t xml:space="preserve"> </t>
    </r>
  </si>
  <si>
    <t>Tooling paper proposing MLonMCU to automate end-to-end TinyML benchmarking with fast retargeting across frameworks and targets; evaluates TFLM and TVM on simulator and MCU hardware.</t>
  </si>
  <si>
    <t>Limitation: short workshop paper focused mainly on latency and memory overheads rather than full energy or accuracy benchmarking.</t>
  </si>
  <si>
    <t>T0141</t>
  </si>
  <si>
    <t>Yang2021</t>
  </si>
  <si>
    <r>
      <rPr>
        <rFont val="Google Sans"/>
        <color rgb="FF1155CC"/>
        <u/>
      </rPr>
      <t>https://arxiv.org/abs/2104.10645</t>
    </r>
    <r>
      <rPr>
        <rFont val="Google Sans"/>
        <color theme="1"/>
      </rPr>
      <t xml:space="preserve"> </t>
    </r>
  </si>
  <si>
    <t>Measuring What Really Matters: Optimizing Neural Networks for TinyML</t>
  </si>
  <si>
    <t>Yuhao Zhu; et al.</t>
  </si>
  <si>
    <t>PerformanceEvaluation</t>
  </si>
  <si>
    <t>ARM Cortex-M</t>
  </si>
  <si>
    <t>CMSIS-NN; Custom toolchain</t>
  </si>
  <si>
    <t>Synthetic CNN workloads</t>
  </si>
  <si>
    <t>Latency; Energy</t>
  </si>
  <si>
    <r>
      <rPr>
        <rFont val="Google Sans"/>
        <color rgb="FF1155CC"/>
        <u/>
      </rPr>
      <t>https://arxiv.org/abs/2104.10645</t>
    </r>
    <r>
      <rPr>
        <rFont val="Google Sans"/>
        <color theme="1"/>
      </rPr>
      <t xml:space="preserve"> </t>
    </r>
  </si>
  <si>
    <t>Paper analyzes real TinyML performance on Cortex-M MCUs and shows mismatch between FLOPs and actual latency. Provides hardware-aware benchmarking insights. Limitation: no standard datasets and no full system deployment.</t>
  </si>
  <si>
    <t>Proposes an implementation-aware benchmarking toolchain and provides empirical analysis of quantization, CMSIS-NN, layer types, and MCU-specific trade-offs. Valuable for S6 because it connects benchmarking methodology with deployment-relevant latency and energy behavior.      Important limitation: it is not an application-specific IoT deployment paper. It is a general TinyML benchmarking/optimization paper using LeNet and ResNet as experimental networks, so later you should mention that it supports the benchmarking section more than the IoT application synthesis section.</t>
  </si>
  <si>
    <t>T0142</t>
  </si>
  <si>
    <t>aymone_benchmarking_2024</t>
  </si>
  <si>
    <t>https://doi.org/10.3390/info15110674</t>
  </si>
  <si>
    <t>Information</t>
  </si>
  <si>
    <t>Benchmarking In-Sensor Machine Learning Computing: An Extension to the MLCommons-Tiny Suite</t>
  </si>
  <si>
    <t>Fabrizio Maria Aymone; Danilo Pietro Pau</t>
  </si>
  <si>
    <t>ISPU; STM32U5</t>
  </si>
  <si>
    <t>Keras; TensorFlow Lite; QKeras; ST Edge AI Unified Core</t>
  </si>
  <si>
    <t>Dense; CNN; TCN / TEMPONet</t>
  </si>
  <si>
    <t>SHL; PAMAP2; NINAPRO DB8</t>
  </si>
  <si>
    <t>Accuracy / MAE</t>
  </si>
  <si>
    <t>QAT generally outperformed PTQ in most scenarios; CNN INT8 was the only tested model family able to satisfy ISPU memory limits</t>
  </si>
  <si>
    <r>
      <rPr>
        <rFont val="Google Sans"/>
        <color rgb="FF000000"/>
        <u/>
      </rPr>
      <t>https://github.com/fabrizioaymone/sensor</t>
    </r>
    <r>
      <rPr>
        <rFont val="Google Sans"/>
        <color theme="1"/>
      </rPr>
      <t xml:space="preserve"> </t>
    </r>
  </si>
  <si>
    <r>
      <rPr>
        <rFont val="Google Sans"/>
        <color rgb="FF000000"/>
        <u/>
      </rPr>
      <t>https://doi.org/10.3390/info15110674</t>
    </r>
    <r>
      <rPr>
        <rFont val="Google Sans"/>
        <color theme="1"/>
      </rPr>
      <t xml:space="preserve"> </t>
    </r>
  </si>
  <si>
    <t>Proposes a benchmark extension for in-sensor ML computing under ultra-low memory constraints and compares QAT with PTQ across HAR PAM and sEMG use cases.</t>
  </si>
  <si>
    <t>Limitation: evaluation uses one user only and energy consumption is not yet part of the benchmark.</t>
  </si>
  <si>
    <t>T0143</t>
  </si>
  <si>
    <t>Baciu2024_MLinoBench</t>
  </si>
  <si>
    <r>
      <rPr>
        <rFont val="Google Sans"/>
        <color rgb="FF000000"/>
        <u/>
      </rPr>
      <t>https://doi.org/10.1016/j.sysarc.2024.103262</t>
    </r>
    <r>
      <rPr>
        <rFont val="Google Sans"/>
        <color theme="1"/>
      </rPr>
      <t xml:space="preserve"> </t>
    </r>
  </si>
  <si>
    <t>Journal of Systems Architecture</t>
  </si>
  <si>
    <t>MLino bench: A comprehensive benchmarking tool for evaluating ML models on edge devices</t>
  </si>
  <si>
    <t>Vlad-Eusebiu Baciu; Johan Stiens; Bruno da Silva</t>
  </si>
  <si>
    <t>ATmega2560; AT91SAM3X8E; NXP iMXRT1062</t>
  </si>
  <si>
    <t>scikit-learn; Keras; TensorFlow; emlearn; sklearn-porter; embml; micromlgen; m2cgen; tinymlgen</t>
  </si>
  <si>
    <t>Decision Tree; Random Forest; SVC; MLP</t>
  </si>
  <si>
    <t>Gesture Phase Segmentation; Gas Sensor Array; Sensorless Drive Diagnostics; HAR</t>
  </si>
  <si>
    <t>Classification Time</t>
  </si>
  <si>
    <t>Includes on-target accuracy, model size, and classification time; supports classical ML and NN benchmarking across multiple embedded platforms</t>
  </si>
  <si>
    <r>
      <rPr>
        <rFont val="Google Sans"/>
        <color rgb="FF000000"/>
        <u/>
      </rPr>
      <t>https://github.com/vladBaciu/MLino-Bench</t>
    </r>
    <r>
      <rPr>
        <rFont val="Google Sans"/>
        <color theme="1"/>
      </rPr>
      <t xml:space="preserve"> </t>
    </r>
  </si>
  <si>
    <t>https://doi.org/10.1016/j.sysarc.2024.103262</t>
  </si>
  <si>
    <t>Introduces MLino Bench, an open-source tool for training, porting, compiling, flashing, and benchmarking ML models on resource-constrained edge devices, including both classical ML and NN models.</t>
  </si>
  <si>
    <t>Limitation: evaluation focuses on latency, accuracy, and memory footprint, without integrated energy measurement in the presented experiments. Also 
It focuses on classification time and model size, but does not provide energy as a main measured metric in the evaluation.
It is more general edge-device benchmarking than strictly TinyML MCU benchmarking under a formal MCU-only boundary, even though the tested platforms are MCUs and resource-constrained boards.
The tool’s fully automated pipeline is limited to certain supported platforms, with some other platforms needing manual integration.</t>
  </si>
  <si>
    <t>T0144</t>
  </si>
  <si>
    <t>Hasanpour2025_EdgeMark</t>
  </si>
  <si>
    <r>
      <rPr>
        <rFont val="Google Sans"/>
        <color rgb="FF000000"/>
        <u/>
      </rPr>
      <t>https://arxiv.org/abs/2502.01700</t>
    </r>
    <r>
      <rPr>
        <rFont val="Google Sans"/>
        <color theme="1"/>
      </rPr>
      <t xml:space="preserve"> </t>
    </r>
  </si>
  <si>
    <t>EdgeMark: An Automation and Benchmarking System for Embedded Artificial Intelligence Tools</t>
  </si>
  <si>
    <t>Mohammad Amin Hasanpour; Mikkel Kirkegaard; Xenofon Fafoutis</t>
  </si>
  <si>
    <t>STM NUCLEO-L4R5ZI; Renesas RX65N</t>
  </si>
  <si>
    <t>TensorFlow; TFLite; TFLM; Edge Impulse; Ekkono; Renesas eAI Translator</t>
  </si>
  <si>
    <t>FC; CNN; RNN; MLPerf Tiny models</t>
  </si>
  <si>
    <t>MNIST; CIFAR-10; ImageNet-V2; Boston Housing; Visual Wake Words; Shakespeare; Sinus; ToyADMOS; RandomSet</t>
  </si>
  <si>
    <t>Execution Time</t>
  </si>
  <si>
    <t>Benchmarks deployment error execution time flash size and RAM usage; compares multiple eAI tools and quantization schemes on STM and Renesas hardware</t>
  </si>
  <si>
    <t>https://github.com/Black3rror/EdgeMark</t>
  </si>
  <si>
    <t>https://arxiv.org/abs/2502.01700</t>
  </si>
  <si>
    <t>Introduces EdgeMark, an open-source automation and benchmarking system for embedded AI tools, and benchmarks TFLM, Edge Impulse, Ekkono, and Renesas eAI Translator across many models and hardware targets.</t>
  </si>
  <si>
    <t>Limitation: preprint and energy measurements are left for future work.</t>
  </si>
  <si>
    <t>T0145</t>
  </si>
  <si>
    <t>David2021_TFLM</t>
  </si>
  <si>
    <r>
      <rPr>
        <rFont val="Google Sans"/>
        <color rgb="FF1155CC"/>
        <u/>
      </rPr>
      <t>https://proceedings.mlsys.org/paper_files/paper/2021/hash/6c44dc73014d66ba49b28d483a8f8b0d-Abstract.html</t>
    </r>
    <r>
      <rPr>
        <rFont val="Google Sans"/>
        <color theme="1"/>
      </rPr>
      <t xml:space="preserve"> </t>
    </r>
  </si>
  <si>
    <t>MLSys</t>
  </si>
  <si>
    <t>TensorFlow Lite Micro: Embedded Machine Learning on TinyML Systems</t>
  </si>
  <si>
    <t>Robert David; Jared Duke; Advait Jain; Vijay Janapa Reddi; Nat Jeffries; Jian Li; Nick Kreeger; Ian Nappier; Meghna Natraj; Shlomi Regev; Rocky Rhodes; Tiezhen Wang; Pete Warden</t>
  </si>
  <si>
    <t>Ambiq Apollo3 Cortex-M4; Xtensa HiFi Mini DSP</t>
  </si>
  <si>
    <t>TensorFlow Lite; TensorFlow Lite Micro; CMSIS-NN</t>
  </si>
  <si>
    <t>Visual Wake Words; Google Hotword</t>
  </si>
  <si>
    <t>Total Cycles</t>
  </si>
  <si>
    <t>Reports interpreter overhead total cycles calculation cycles and memory consumption; optimized kernels provide substantial speedups over reference kernels</t>
  </si>
  <si>
    <r>
      <rPr>
        <rFont val="Google Sans"/>
        <color rgb="FF1155CC"/>
        <u/>
      </rPr>
      <t>https://github.com/tensorflow/tensorflow/tree/master/tensorflow/lite/micro</t>
    </r>
    <r>
      <rPr>
        <rFont val="Google Sans"/>
        <color theme="1"/>
      </rPr>
      <t xml:space="preserve"> </t>
    </r>
  </si>
  <si>
    <r>
      <rPr>
        <rFont val="Google Sans"/>
        <color rgb="FF1155CC"/>
        <u/>
      </rPr>
      <t>https://proceedings.mlsys.org/paper_files/paper/2021/hash/6c44dc73014d66ba49b28d483a8f8b0d-Abstract.html</t>
    </r>
    <r>
      <rPr>
        <rFont val="Google Sans"/>
        <color theme="1"/>
      </rPr>
      <t xml:space="preserve"> </t>
    </r>
  </si>
  <si>
    <t>Introduces TFLM as an interpreter-based TinyML inference framework for embedded systems and evaluates its runtime overhead and memory footprint on representative embedded platforms.</t>
  </si>
  <si>
    <t>Limitation: evaluation uses a small benchmark set and focuses on inference framework behavior rather than broad application-level deployment studies.</t>
  </si>
  <si>
    <t>T0147</t>
  </si>
  <si>
    <t>elbarkani_2024_gas</t>
  </si>
  <si>
    <t>Electronics (MDPI), Vol. 13, Issue 23, 4768</t>
  </si>
  <si>
    <t>Majda El Barkani, Nabil Benamar, Hanae Talei, Miloud Bagaa</t>
  </si>
  <si>
    <t>Not applicable (static images from thermal camera)</t>
  </si>
  <si>
    <t>Arduino Nano 33 BLE Sense (ARM Cortex-M4F, 64MHz, 256KB RAM, 1MB Flash)</t>
  </si>
  <si>
    <t>None (Software-only, Edge Impulse)</t>
  </si>
  <si>
    <t>Edge Impulse, TensorFlow Lite</t>
  </si>
  <si>
    <t>MobileNetV1 (depth multiplier 0.25, 96x96 input), EfficientNet-B0</t>
  </si>
  <si>
    <t>Yes (Post-training INT8 quantization)</t>
  </si>
  <si>
    <t>Yes (Transfer learning from pre-trained weights)</t>
  </si>
  <si>
    <t>MultimodalGasData (thermal images: Smoke, Perfume, Mixture, No Gas - 6400 samples)</t>
  </si>
  <si>
    <t>MultimodalGasData (Narkhede et al. 2021)</t>
  </si>
  <si>
    <t>Accuracy, F1-score, Inference Time, RAM, Flash</t>
  </si>
  <si>
    <t>91.73% (EfficientNet-B0), 88.92% (MobileNetV1)</t>
  </si>
  <si>
    <t>Not reported (quantized model)</t>
  </si>
  <si>
    <t>Partial (Used existing dataset, deployment on Arduino planned for future work)</t>
  </si>
  <si>
    <t>Yes (Dataset public)</t>
  </si>
  <si>
    <t>https://data.mendeley.com/datasets/zkwgkjkjn9/2 (Dataset)</t>
  </si>
  <si>
    <t>https://www.mdpi.com/2079-9292/13/23/4768</t>
  </si>
  <si>
    <t>Excellent industrial safety use case — gas leakage detection in residential and industrial settings using TinyML. This paper does exactly what our criteria require.</t>
  </si>
  <si>
    <t>This is a clean, well-documented TinyML deployment paper for a practical safety application — gas leak detection in buildings and industrial facilities.</t>
  </si>
  <si>
    <t>T0149</t>
  </si>
  <si>
    <t>shivhare_embedded_2025</t>
  </si>
  <si>
    <t>10.63503/j.ijcma.2025.114</t>
  </si>
  <si>
    <t>International Journal on Computational Modelling Applications, Vol. 02, Iss. 02, pp.1-17</t>
  </si>
  <si>
    <t>Embedded TinyML for Predictive Maintenance: Vibration Analysis on ESP32 with Real-Time Fault Detection in Industrial Equipment</t>
  </si>
  <si>
    <t>Shubbham Gupta, Shiv Naresh Shivhare</t>
  </si>
  <si>
    <t>Not explicitly specified (controlled experimental setup)</t>
  </si>
  <si>
    <t>Not specified (adaptive sampling)</t>
  </si>
  <si>
    <t>ESP32 (dual-core, Wi-Fi + Bluetooth)</t>
  </si>
  <si>
    <t>None (Software-only, TinyML optimized)</t>
  </si>
  <si>
    <t>1D CNN (lightweight, optimized for ESP32)</t>
  </si>
  <si>
    <t>Yes (Model pruning, quantization for ESP32 constraints)</t>
  </si>
  <si>
    <t>Proprietary vibration dataset (4 machine states: normal, misaligned, imbalanced, bearing-worn)</t>
  </si>
  <si>
    <t>Custom vibration dataset (created by authors on controlled mechanical setups)</t>
  </si>
  <si>
    <t>&gt;92% (CNN model), comparative evaluation with CNN-LSTM</t>
  </si>
  <si>
    <t>&lt;1000 (sub-second inference latency)</t>
  </si>
  <si>
    <t>Not reported (ultra-low-power ESP32)</t>
  </si>
  <si>
    <t>Yes (Battery-capable, low-power embedded platform)</t>
  </si>
  <si>
    <t>Not reported (optimized for ESP32 flash constraints)</t>
  </si>
  <si>
    <t>Not reported (optimized for ESP32 RAM constraints)</t>
  </si>
  <si>
    <t>Not reported (compact footprint)</t>
  </si>
  <si>
    <t>Yes (Deployment on ESP32 with ADXL345, controlled experimental validation)</t>
  </si>
  <si>
    <t>https://www.researchgate.net/publication/395334243_Embedded_TinyML_for_Predictive_Maintenance_Vibration_Analysis_on_ESP32_with_Real-Time_Fault_Detection_in_Industrial_Equipment</t>
  </si>
  <si>
    <t>Excellent industrial use case — predictive maintenance using vibration analysis on an ESP32 with real accelerometer data (ADXL345). This is exactly the kind of deployment our systematic review needs.</t>
  </si>
  <si>
    <t>This paper does exactly what our systematic review is looking for — it actually deploys TinyML on a resource-constrained MCU (ESP32) for a real industrial application (vibration-based fault detection).</t>
  </si>
  <si>
    <t>T0031</t>
  </si>
  <si>
    <t>antonini_tinyml_2022,</t>
  </si>
  <si>
    <t>10.1109/MetroInd4.0IoT54413.2022.9831517</t>
  </si>
  <si>
    <t>IEEE MetroInd4.0&amp;IoT</t>
  </si>
  <si>
    <t>A TinyML approach to non-repudiable anomaly detection in extreme industrial environments</t>
  </si>
  <si>
    <t>https://ieeexplore.ieee.org/document/9831517</t>
  </si>
  <si>
    <t>Superseded by S4_02 (Journal Version). Same authors, same device.</t>
  </si>
  <si>
    <t>Same paper as S402</t>
  </si>
  <si>
    <t>EX_DUP</t>
  </si>
  <si>
    <t>T0032</t>
  </si>
  <si>
    <t>paissan_scalable_2022</t>
  </si>
  <si>
    <t>10.1109/ICASSP43922.2022.9746093</t>
  </si>
  <si>
    <t>ICASSP</t>
  </si>
  <si>
    <t>SCALABLE NEURAL ARCHITECTURES FOR END-TO-END ENVIRONMENTAL SOUND CLASSIFICATION</t>
  </si>
  <si>
    <t>Francesco Paissan, Alberto Ancilotto, Alessio Brutti, Elisabetta Farella</t>
  </si>
  <si>
    <t>https://ieeexplore.ieee.org/document/9746093</t>
  </si>
  <si>
    <t>Hardware-aware architecture design targeting MCUs but no specific MCU platform named and no on-device deployment or measured latency/energy. Reports parameters and MACs only.</t>
  </si>
  <si>
    <t>No explicit MCU-class on-device inference deployment is reported; the paper does not provide on-device deployment metrics</t>
  </si>
  <si>
    <t>EX_NO_DEPLOY</t>
  </si>
  <si>
    <t>T0033</t>
  </si>
  <si>
    <t>scherer_waveformer_2024</t>
  </si>
  <si>
    <t>DATE 2024</t>
  </si>
  <si>
    <t>Work In Progress: Linear Transformers for TinyML</t>
  </si>
  <si>
    <t>Moritz Scherer, Cristian Cioflant, Michele Magno, Luca Benini</t>
  </si>
  <si>
    <t>https://ieeexplore.ieee.org/document/10546828</t>
  </si>
  <si>
    <t>Claims MCU feasibility but no actual deployment. Reports only MAC and parameter count (Table 1), no measured latency, energy, or RAM/Flash usage.</t>
  </si>
  <si>
    <t>No MCU deployment</t>
  </si>
  <si>
    <t>T0034</t>
  </si>
  <si>
    <t>almaini_privacy-preserving_2025</t>
  </si>
  <si>
    <t>https:doi.org/10.1109/HPCC67675.2025.00152</t>
  </si>
  <si>
    <t>FORTEI-ICEE</t>
  </si>
  <si>
    <t>Privacy-Preserving Electricity Load Forecasting in Smart Cities Using TinyML at the Edge</t>
  </si>
  <si>
    <t>Amar Almaini; Santhosh Nataraj; Gautam Savaliya; Manjitha Dahanayaka Vidanlage; Abhishek Subedi; Ahmed Al-Dubai</t>
  </si>
  <si>
    <t>https://ieeexplore.ieee.org/stamp/stamp.jsp?tp=&amp;arnumber=11207470</t>
  </si>
  <si>
    <t>It does NOT perform actual MCU deployment. There is no deployment on Arduino / ESP32 / Cortex-M device. No measured on-device latency, SRAM usage, Flash usage, or real MCU power consumption.</t>
  </si>
  <si>
    <t>Proposes a TinyML + homomorphic encryption framework for smart-meter forecasting, but evaluation is conducted on a laptop-based prototype with no actual deployment on a smart meter or MCU-class edge device.</t>
  </si>
  <si>
    <t>T0035</t>
  </si>
  <si>
    <t>moura_-device_2026</t>
  </si>
  <si>
    <t>https://doi.org/10.1109/ACCESS.2026.3658109</t>
  </si>
  <si>
    <t>IEEE Micro</t>
  </si>
  <si>
    <t>On-Device Edge AI for Monthly Energy Forecasting on ESP32-S3 Using 3-Day Windows: Hardware-Constrained Feasibility With Harmonics and Offline Interharmonic Benchmarking</t>
  </si>
  <si>
    <t>Gerffeson Almeida Moura; Antonio Wallace Antunes Soares; Diomadson Rodrigues Belfort; Sebastian Yuri Cavalcanti Catunda</t>
  </si>
  <si>
    <t>https://ieeexplore.ieee.org/document/11364132</t>
  </si>
  <si>
    <t>Reports ESP32-S3 platform and forecasting accuracy metrics but does not provide at least two required hardware metrics (latency, energy, memory usage).</t>
  </si>
  <si>
    <t>Although ESP32-S3 deployment is demonstrated, key configurations (e.g., interharmonic features) are evaluated offline only, leading to incomplete on-device validation and inconsistent deployment across experiments.</t>
  </si>
  <si>
    <t>EX_NO_METRICS</t>
  </si>
  <si>
    <t>T0036</t>
  </si>
  <si>
    <t>thimira_pdf_2026</t>
  </si>
  <si>
    <t>https://www.researchgate.net/publication/400049498_Environmental_Hazards_Prediction_Using_Real-Time_IoT_Sensor_Data_and_Edge-Deployed_Machine_Learning_for_Smart_Residential_Contexts</t>
  </si>
  <si>
    <t>ICACT</t>
  </si>
  <si>
    <t>Environmental Hazards Prediction Using Real-Time IoT Sensor Data and Edge-Deployed Machine Learning for Smart Residential Contexts</t>
  </si>
  <si>
    <t xml:space="preserve">Thimira Hansana, Navodya Sewmini  </t>
  </si>
  <si>
    <t>Focuses on environmental hazard prediction using smart home data but does not demonstrate real on-device TinyML deployment. Model evaluation appears simulation or platform-level without measured MCU inference latency, RAM/Flash usage, or hardware-constrained benchmarking.</t>
  </si>
  <si>
    <t>Proposes smart home environmental monitoring with edge inference on ESP32, but system heavily relies on cloud-based processing (Firebase backend, cloud training) and does not provide clear standalone on-device TinyML deployment or full MCU-only inference pipeline.</t>
  </si>
  <si>
    <t>T0046</t>
  </si>
  <si>
    <t>papaioannou_ultra-low-power_2023-1</t>
  </si>
  <si>
    <t>10.1145/3582433</t>
  </si>
  <si>
    <t>Papaioannou, Alexios and Kouzinopoulos, Charalampos S. and Ioannidis, Dimosthenis and Tzovaras, Dimitrios</t>
  </si>
  <si>
    <t>https://dl.acm.org/doi/epdf/10.1145/3582433</t>
  </si>
  <si>
    <t>Caught a duplicate! This is the exact same ACM paper you already screened earlier and added to the VIP list as T0029.</t>
  </si>
  <si>
    <t>Same as above.</t>
  </si>
  <si>
    <t>T0062</t>
  </si>
  <si>
    <t>Uddin2024</t>
  </si>
  <si>
    <t>IEEE GreenTech</t>
  </si>
  <si>
    <t>Voice Activated Edge Devices Using Tiny Machine Learning Enabled Microcontroller</t>
  </si>
  <si>
    <t>Md Raihan Uddin et al.</t>
  </si>
  <si>
    <t>https://ieeexplore.ieee.org/stamp/stamp.jsp?tp=&amp;arnumber=10520459</t>
  </si>
  <si>
    <t>Platform (Arduino Nano 33 BLE Sense) + memory (47.6 KB RAM, 172.5 KB Flash) reported. Missing measured latency AND energy/power. Does not meet requirement for at least two of (latency, energy/power, memory) with measured metrics from deployed model.</t>
  </si>
  <si>
    <t>Deployed on an Arduino Nano 33 BLE Sense but only memory reported, no energy or latency reported.</t>
  </si>
  <si>
    <t>T0063</t>
  </si>
  <si>
    <t>Huang2025</t>
  </si>
  <si>
    <t>IEEE ICCECT</t>
  </si>
  <si>
    <t>STM32 Microcontroller-Based Voice Recognition Control System for Autonomous Vehicles</t>
  </si>
  <si>
    <t>Yufan Huang</t>
  </si>
  <si>
    <t>https://ieeexplore.ieee.org/document/11339771</t>
  </si>
  <si>
    <t>Not a TinyML paper. Uses dedicated speech recognition chip (LD3320) with embedded DTW algorithm, not a machine learning model deployed on a resource-constrained MCU via TinyML frameworks. No ML training, quantization, or on-device ML inference. Falls outside TinyML scope definition.</t>
  </si>
  <si>
    <t>No TinyML model deployment (uses dedicated ASR chip LD3320); missing deployment metrics (latency/energy/memory for model).</t>
  </si>
  <si>
    <t>EX_OUT_OF_SCOPE</t>
  </si>
  <si>
    <t>T0064</t>
  </si>
  <si>
    <t>Lim2023</t>
  </si>
  <si>
    <t>Joint Framework of Curriculum Learning and Knowledge Distillation for Noise-Robust and Small-Footprint Keyword Spotting</t>
  </si>
  <si>
    <t>Jaebong Lim et al.</t>
  </si>
  <si>
    <t>https://ieeexplore.ieee.org/document/10247011</t>
  </si>
  <si>
    <t>No on-device deployment. Paper proposes algorithmic framework (curriculum learning + distillation) for noise-robust KWS but does not deploy or measure performance on physical MCU hardware. No measured latency, power/energy, or memory usage reported.</t>
  </si>
  <si>
    <t>No on-device deployment</t>
  </si>
  <si>
    <t>T0065</t>
  </si>
  <si>
    <t>Vu2025</t>
  </si>
  <si>
    <t>IEEE SAS</t>
  </si>
  <si>
    <t>Efficient Continual Learning in Keyword Spotting using Binary Neural Networks</t>
  </si>
  <si>
    <t>Quynh Vu et al.</t>
  </si>
  <si>
    <t>https://ieeexplore.ieee.org/document/11105106</t>
  </si>
  <si>
    <t>No on-device deployment. Paper proposes and evaluates CL algorithms on BNN model using TensorFlow on desktop, but does not deploy or measure performance on physical MCU hardware. No measured latency, power/energy, or memory usage. The authors explicitly state deployment "should be evaluated" as future work.</t>
  </si>
  <si>
    <t>Explores CL algorithms on BNN model using TensorFlow on computer but does not deploy or measure performance on physical MCU hardware, rather deployment treated as future work.</t>
  </si>
  <si>
    <t>T0069</t>
  </si>
  <si>
    <t>Karakus2024</t>
  </si>
  <si>
    <t>IEEE UBMK</t>
  </si>
  <si>
    <t>Soft Error Reliability Assessment of TinyML Algorithms on STM32 Microcontroller</t>
  </si>
  <si>
    <t>Ahmet Selim Karakuş et al.</t>
  </si>
  <si>
    <t>https://ieeexplore.ieee.org/document/10773488</t>
  </si>
  <si>
    <t>Platform (STM32L476) + memory reported. Missing measured latency AND energy/power. Paper focuses on fault injection/reliability analysis, not deployment metrics required by PRISMA criteria. Does not meet requirement for at least two of (latency, energy/power, memory) with measured hardware performance metrics.</t>
  </si>
  <si>
    <t>Performs deployment on STM32L476 but only reports memory no latency or energy metrics found.</t>
  </si>
  <si>
    <t>T0072</t>
  </si>
  <si>
    <t>Franco2024</t>
  </si>
  <si>
    <t>Trade-offs in Neural Network Compression: Quantized and Binary Models for Keyword Spotting</t>
  </si>
  <si>
    <t>Bruno Lovison Franco et al.</t>
  </si>
  <si>
    <t>https://ieeexplore.ieee.org/document/10849192</t>
  </si>
  <si>
    <t>No physical MCU deployment. Paper performs model exploration (NAS, quantization, binarization) in TensorFlow/Larq on desktop, but does not deploy or measure performance on actual microcontroller hardware. No specific platform named, no measured latency or energy/power. Does not meet PRISMA requirement for demonstrated deployment with measured hardware metrics.</t>
  </si>
  <si>
    <t>T0073</t>
  </si>
  <si>
    <t>Vitolo2022</t>
  </si>
  <si>
    <t>IEEE AICAS</t>
  </si>
  <si>
    <t>Quantized 1D-CNN for a Low-power PDM-to-PCM Conversion in TinyML KWS Applications</t>
  </si>
  <si>
    <t>Paola Vitolo et al.</t>
  </si>
  <si>
    <t>https://ieeexplore.ieee.org/document/9869909</t>
  </si>
  <si>
    <t>Platform is Xilinx Artix-7 FPGA, not MCU-class (Cortex-M/ESP32/RISC-V). If your scope strictly requires MCU deployment, this is excluded. Otherwise, meets all other criteria: real hardware deployment, measured power (1 mW), memory (89 bytes parameters), and latency (27 cycles/sample).</t>
  </si>
  <si>
    <t>Performs deployment on Xilinx Artix-7, not an MCU class hardware.</t>
  </si>
  <si>
    <t>EX_PLATFORM</t>
  </si>
  <si>
    <t>T0075</t>
  </si>
  <si>
    <t>MartinezRau2025</t>
  </si>
  <si>
    <t>Adaptive Noise Resilient Keyword Spotting Using One-Shot Learning</t>
  </si>
  <si>
    <t>Luciano Sebastian Martinez-Rau et al.</t>
  </si>
  <si>
    <t>https://ieeexplore.ieee.org/document/11270573</t>
  </si>
  <si>
    <t>No on-device deployment. Paper proposes and evaluates noise adaptation method on desktop hardware (CPU/GPU) only. Authors explicitly state deployment on resource-constrained devices is "future work." No MCU platform specified, no measured latency, energy/power, or memory. Does not meet PRISMA requirement for demonstrated deployment on physical hardware with measured metrics.</t>
  </si>
  <si>
    <t>T0078</t>
  </si>
  <si>
    <t>Niharika2025</t>
  </si>
  <si>
    <t>IEEE CSITSS</t>
  </si>
  <si>
    <t>Smart Voice Assistant Using Tiny ML On Cortex-M55</t>
  </si>
  <si>
    <t>Niharika C L</t>
  </si>
  <si>
    <t>https://ieeexplore.ieee.org/document/11294282</t>
  </si>
  <si>
    <t>Simulation-only deployment on Arm Virtual Hardware (AVH), not physical MCU hardware. Paper explicitly states latency and power could not be measured in simulation. Does not meet requirement for actual deployment on physical MCU with measured hardware metrics.</t>
  </si>
  <si>
    <t>No deployment on MXCU-class hardware. Only stimulation.</t>
  </si>
  <si>
    <t>T0100</t>
  </si>
  <si>
    <t>tjonck_realtime_activity_tracking_tinyml_2021</t>
  </si>
  <si>
    <t>https://doi.org/10.1109/ET52713.2021.9579991</t>
  </si>
  <si>
    <t>IEEE ET Conference</t>
  </si>
  <si>
    <t>Real-Time Activity Tracking using TinyML to Support Elderly Care</t>
  </si>
  <si>
    <t>Kristof T’Jonck; Chandrakanth R. Kancharla; Bozheng Pang; Jens Vankeirsbilck; Hans Hallez; Jeroen Boydens</t>
  </si>
  <si>
    <t>https://ieeexplore-ieee-org.aus.idm.oclc.org/document/9579991</t>
  </si>
  <si>
    <t>Proposes unobtrusive TinyML system using mattress-mounted accelerometer and BLE MCU for real-time elderly activity monitoring; CNN achieves ~98% validation accuracy and ~88.9% test accuracy; supports detection of movements like in/out of bed, agitation, and position change; real-time inference on-device via Edge Impulse; limitations: very small dataset (single subject, 110 samples), poor generalization, misclassification of idle and position switching, limited robustness in real-world settings, requires more diverse data (different users/beds), no energy/latency metrics reported, pilot study only :contentReference[oaicite:0]{index=0}</t>
  </si>
  <si>
    <t>Real-time nRF52 deployment is demonstrated, but required TinyML metrics such as latency, energy, or memory footprint are not reported.</t>
  </si>
  <si>
    <t>T0048</t>
  </si>
  <si>
    <t>sun_tinyad_2023</t>
  </si>
  <si>
    <r>
      <rPr>
        <rFont val="Google Sans"/>
        <color rgb="FF000000"/>
        <sz val="10.0"/>
        <u/>
      </rPr>
      <t>https://arxiv.org/abs/2303.03611v1</t>
    </r>
  </si>
  <si>
    <t>IEEE Transactions on Industrial Informatics</t>
  </si>
  <si>
    <t>TinyAD: Memory-efficient anomaly detection for time series data in Industrial IoT</t>
  </si>
  <si>
    <t>Yuting Sun, Tong Chen, Quoc Viet Hung Nguyen, Hongzhi Yin</t>
  </si>
  <si>
    <r>
      <rPr>
        <rFont val="Google Sans"/>
        <color rgb="FF1155CC"/>
        <u/>
      </rPr>
      <t>https://arxiv.org/abs/2303.036111</t>
    </r>
    <r>
      <rPr>
        <rFont val="Google Sans"/>
      </rPr>
      <t xml:space="preserve">1
</t>
    </r>
  </si>
  <si>
    <t>Evaluates memory reduction theoretically (calculating Peak Activation size in kB and theoretical MACs) rather than demonstrating a physical deployment and measuring hardware metrics on an actual MCU.</t>
  </si>
  <si>
    <t>Estimated metrics on MCU, no actual deployment</t>
  </si>
  <si>
    <t>T0050</t>
  </si>
  <si>
    <t>han_tinyml_2022</t>
  </si>
  <si>
    <t>10.1109/ICAIIC54071.2022.9722636</t>
  </si>
  <si>
    <t>2022 International Conference on Artificial Intelligence in Information and Communication (ICAIIC)</t>
  </si>
  <si>
    <t>TinyML: A Systematic Review and Synthesis of Existing Research</t>
  </si>
  <si>
    <t>Hui Han, Julien Siebert</t>
  </si>
  <si>
    <t>https://ieeexplore.ieee.org/document/9722636</t>
  </si>
  <si>
    <t>Systematic review paper, no physical MCU deployment.</t>
  </si>
  <si>
    <t>Very general survey on TinyML, not industry-specific</t>
  </si>
  <si>
    <t>T0051</t>
  </si>
  <si>
    <t>abadade_2023_tinyml</t>
  </si>
  <si>
    <t>10.1109/ACCESS.2023.3294111</t>
  </si>
  <si>
    <t>A Comprehensive Survey on TinyML</t>
  </si>
  <si>
    <t>Youssef Abadade, Anas Temouden, Hatim Bamoumen, Nabil Benamar, Yousra Chtouki, Abdelhakim Senhaji Hafid</t>
  </si>
  <si>
    <t>https://www.researchgate.net/publication/372236494_A_Comprehensive_Survey_on_TinyML</t>
  </si>
  <si>
    <t>Survey paper, lacks primary physical deployment.</t>
  </si>
  <si>
    <t xml:space="preserve">General survey with very little mention of industry. </t>
  </si>
  <si>
    <t>T0052</t>
  </si>
  <si>
    <t>yelchuri_review_2022</t>
  </si>
  <si>
    <t>https://doi.org/10.48550/arXiv.2211.04448</t>
  </si>
  <si>
    <t>Conference Paper (RV College of Engineering)</t>
  </si>
  <si>
    <t>A review of TinyML</t>
  </si>
  <si>
    <t>Harsha Yelchuri, Rashmi R</t>
  </si>
  <si>
    <t>https://arxiv.org/abs/2211.04448</t>
  </si>
  <si>
    <t>Survey/review paper. Does not present a novel physical deployment with measured hardware metrics.</t>
  </si>
  <si>
    <t>General TinyML survey, not industry-specific</t>
  </si>
  <si>
    <t>T0055</t>
  </si>
  <si>
    <t>zim_tinyml_202</t>
  </si>
  <si>
    <t>10.13140/RG.2.2.28602.11204</t>
  </si>
  <si>
    <t>Conference (Daffodil International University / LETI)</t>
  </si>
  <si>
    <t>TinyML: Analysis of Xtensa LX6 microprocessor for Neural Network Applications by ESP32 SoC</t>
  </si>
  <si>
    <t>Md Ziaul Haque Zim</t>
  </si>
  <si>
    <t>https://arxiv.org/abs/2106.10652</t>
  </si>
  <si>
    <t>Failed! While they did physically deploy to an ESP32 board and measured the latency (execution time in microseconds), they failed to report a second hardware constraint (no memory footprint or energy draw reported).</t>
  </si>
  <si>
    <t xml:space="preserve">General paper, no focus on industry </t>
  </si>
  <si>
    <t>T0039</t>
  </si>
  <si>
    <t>alwaisi_securing_2024</t>
  </si>
  <si>
    <t>10.1016/j.iot.2024.101398</t>
  </si>
  <si>
    <t>Securing constrained IoT systems: A lightweight machine learning approach for anomaly detection and prevention</t>
  </si>
  <si>
    <t>Zainab Alwaisi, Tanesh Kumar, Erkki Harjula, Simone Soderi</t>
  </si>
  <si>
    <t xml:space="preserve">https://www.sciencedirect.com/science/article/pii/S2542660524003391
</t>
  </si>
  <si>
    <t>Passes criteria. Deploys TinyML models on an Arduino Nano 33 BLE and physically measures actual energy consumption (in Joules) and memory usage percentages.</t>
  </si>
  <si>
    <t xml:space="preserve">General paper, no focus on industrial applications. Could be used for general discussions, but not to be included as a core paper as it is very focused on security. </t>
  </si>
  <si>
    <t>T0056</t>
  </si>
  <si>
    <t>moosmann_tinyissimoyolo_2023</t>
  </si>
  <si>
    <t>10.1109/AICAS57966.2023.10168657</t>
  </si>
  <si>
    <t>2023 IEEE 5th International Conference on Artificial Intelligence Circuits and Systems (AICAS)</t>
  </si>
  <si>
    <t>TinyissimoYOLO: A Quantized, Low-Memory Footprint, TinyML Object Detection Network for Low Power Microcontrollers</t>
  </si>
  <si>
    <t>Julian Moosmann, Marco Giordano, Christian Vogt, Michele Magno</t>
  </si>
  <si>
    <t>https://ieeexplore.ieee.org/document/10168657</t>
  </si>
  <si>
    <t>Absolute gold standard. Physically deployed on the MAX78000 microcontroller. Perfectly satisfies the metrics rule by reporting memory (&lt;0.5 MB), inference speed (180 fps), and energy consumption (196 µJ).</t>
  </si>
  <si>
    <t>General paper, no focus on industrial applications. Could be used for general discussions, but not to be included as a core paper as it reports extensive metrics and fits all other criteria (except scope)</t>
  </si>
  <si>
    <t>T0049</t>
  </si>
  <si>
    <t>alamu_efficient_2025</t>
  </si>
  <si>
    <t>Not provided (Review paper)</t>
  </si>
  <si>
    <t>Research Article (Journal)</t>
  </si>
  <si>
    <t>Efficient TinyML Architectures for Anomaly Detection in Industrial IoT Sensors</t>
  </si>
  <si>
    <t>Rapheal Alamu, Sudarshana Karkala, Sazzad Hossain, Mahendra Krishnapatnam, Ankur Aggarwal, Zarif Zahir, Harshad Vijay Pandhare, Varun Shah</t>
  </si>
  <si>
    <t>https://www.researchgate.net/publication/392623064_Efficient_TinyML_Architectures_for_Anomaly_Detection_in_Industrial_IoT_Sensors</t>
  </si>
  <si>
    <t>The abstract explicitly states this is a review/synthesis of current advancements, not an empirical hardware deployment.</t>
  </si>
  <si>
    <t xml:space="preserve">Relevant to the topic. Since it is a survey and not an actual deployable contribution, make sure to use it in the correct context and to support claims, not as a standalone paper. </t>
  </si>
  <si>
    <t>T0137</t>
  </si>
  <si>
    <t>dutta_2021_tinyml</t>
  </si>
  <si>
    <t>10.1016/j.iot.2021.100461</t>
  </si>
  <si>
    <t>Internet of Things (Elsevier), Volume 16, 100461</t>
  </si>
  <si>
    <t>TinyML Meets IoT: A Comprehensive Survey</t>
  </si>
  <si>
    <t>Lachit Dutta, Swapna Bharali</t>
  </si>
  <si>
    <t>https://www.sciencedirect.com/science/article/pii/S2542660521001025</t>
  </si>
  <si>
    <t>This is a solid foundational survey on TinyML. The authors do a good job covering the definition, the motivation for moving ML to the edge (low latency, privacy, bandwidth), and they touch on both academic and industry efforts. Table IV summarizing industry research activities is actually quite useful.</t>
  </si>
  <si>
    <t>This paper is relevant to our topic and could be used in the correct context — specifically, to support background claims, define TinyML for readers, or cite as evidence of the research landscape in 2021. It should not be counted as one of our core corpus papers (the deployed systems we are analyzing), but it can absolutely appear in our introduction or related work sections.</t>
  </si>
  <si>
    <t>T0139</t>
  </si>
  <si>
    <t>muthusamy_2025_tinyml</t>
  </si>
  <si>
    <t>10.1038/s41598-025-25678-x</t>
  </si>
  <si>
    <t>Scientific Reports, Vol. 15, 41712</t>
  </si>
  <si>
    <t>TinyML with CTGAN based smart industry power load usage prediction with original and synthetic data visualization towards industry 5.0</t>
  </si>
  <si>
    <t>Maragatharajan Muthusamy, Aanjankumar Sureshkumar, Poonkuntran Shanmugam, Parag Ravikant Kaveri, Mohamed Yasin Noor Mohamed, Sunaina Sridhar</t>
  </si>
  <si>
    <t>https://pmc.ncbi.nlm.nih.gov/articles/PMC12644835/#:~:text=device%20like%20the%20ESP,36%20mJ35%20%2C%2060</t>
  </si>
  <si>
    <t>The paper states the model was *"flashed onto a device like the ESP-32"* — the word "like" indicates estimation or simulation, not physical deployment on actual hardware. Our criteria require demonstrated actual deployment on physical MCU hardware. Ambiguous language suggests the authors did not empirically measure metrics on a real device.</t>
  </si>
  <si>
    <t>The dataset is imbalanced (Fig. 8 shows light load underrepresented), yet the paper reports only accuracy (95%) without robust imbalance-tolerant metrics like MCC or Kappa. Accuracy on imbalanced data is misleading. While they report latency, RAM, and flash, the fundamental prediction metrics fail to demonstrate reliable performance across all classes.</t>
  </si>
  <si>
    <t>T0140</t>
  </si>
  <si>
    <t>terziyska_2026_tinyml</t>
  </si>
  <si>
    <t>10.3390/sci8010010</t>
  </si>
  <si>
    <t>Sci (MDPI), Vol. 8, Issue 1, 10</t>
  </si>
  <si>
    <t>A Review of the Transition from Industry 4.0 to Industry 5.0: Unlocking the Potential of TinyML in Industrial IoT Systems</t>
  </si>
  <si>
    <t>Margarita Terziyska, Iliana Ilieva, Zhelyazko Terziyski, Nikolay Komitov</t>
  </si>
  <si>
    <t>https://www.mdpi.com/2413-4155/8/1/10</t>
  </si>
  <si>
    <t>This is a systematic review and bibliometric analysis of TinyML literature — not a primary research paper demonstrating actual deployment on physical MCU hardware. The paper synthesizes 110 existing publications but presents no novel TinyML model, no deployment on any device (ESP32, Arduino, STM32, etc.), and no empirical measurements of latency, energy, or memory from physical hardware.</t>
  </si>
  <si>
    <t>This paper is a bibliometric and thematic analysis using Biblioshiny and VOSviewer to map TinyML research trends. While it provides valuable conceptual frameworks (e.g., "Sustainable Cognitive Industry") and discusses industrial implementations reported by others, it does not itself deploy any TinyML model on any device.</t>
  </si>
  <si>
    <t>T0087</t>
  </si>
  <si>
    <t>https://link.springer.com/article/10.1007/s11554-024-01605-7</t>
  </si>
  <si>
    <t>Embedded object detection using YOLOv8</t>
  </si>
  <si>
    <t>Fails the strict metrics rule. While it deploys a YOLOv8-derived model on an endpoint chip and measures latency (46 ms/21 ms), it relies on theoretical FLOPs and fails to report a second physically measured hardware constraint (like memory footprint or power/energy).</t>
  </si>
  <si>
    <t>Low-power endpoint fire detection algorithm evaluated on an embedded T41 chip with NPU and reporting latency, mAP, and quantized INT8 deployment performance; included for smart-building safety relevance, though the target platform is an endpoint SoC rather than a strict MCU-class TinyML device.</t>
  </si>
  <si>
    <t>T0122</t>
  </si>
  <si>
    <t>https://ieeexplore.ieee.org/abstract/document/9530806</t>
  </si>
  <si>
    <t>IoT fingerprint module</t>
  </si>
  <si>
    <t>Traditional IoT project trap! It uses an Arduino Uno and an off-the-shelf FPM10A fingerprint module, but it does not deploy any Machine Learning or TinyML models on the edge.</t>
  </si>
  <si>
    <t>Smart door lock prototype built on Arduino Uno with fingerprint, PIR, ESP8266, relay, and Telegram notification, but the contribution is an IoT access-control/security system rather than a TinyML or embedded ML deployment paper, and the reported evaluation focuses on functional testing and network QoS only.</t>
  </si>
  <si>
    <t>T0124</t>
  </si>
  <si>
    <t>https://www.researchgate.net/publication/399939271_Design_and_Implementation_of_a_Low-Cost_Device_to_Monitor_the_Real-Time_Presence_of_CO_and_CO2_in_Ambient_Air_and_Prediction_of_its_Pollution_Level_using_TinyML</t>
  </si>
  <si>
    <t>Design and Implementation of a Low-Cost Device to Monitor the Real-Time Presence of CO and CO2</t>
  </si>
  <si>
    <t>Fails the metrics rule. It deploys a logistic regression TinyML model on an ESP32 for air pollution prediction, but the authors fail to report the required physical hardware constraints (no memory footprint, inference latency, or energy consumption data is provided).</t>
  </si>
  <si>
    <t>ESP32-based TinyML air-quality monitoring system using MQ5/MQ135 sensors and embedded logistic-regression inference to predict pollution classes from CO and CO₂ levels, with reported accuracy and memory usage, but the paper’s application is ambient pollution monitoring rather than smart-building/fleet operations.</t>
  </si>
  <si>
    <t>T0125</t>
  </si>
  <si>
    <t>TinyML Models for a Low-Cost Air Quality Monitoring Device | IEEE Journals &amp; Magazine</t>
  </si>
  <si>
    <t>Real deployment on Raspberry Pi Pico W (RP2040 chip, dual-core Cortex-M0+). Reports model sizes (TF: 85.4/102.6 kB; quantized: 10.6/13.6 kB reduction), RMSE values, and R² scores (&gt;0.70). Focuses on model size and accuracy only. Lacks hardware performance metrics required by PRISMA criteria.</t>
  </si>
  <si>
    <t>T0126</t>
  </si>
  <si>
    <t>https://www.researchgate.net/publication/355844290_Communication_and_Network_Technologies_of_IoT_in_Smart_Building_A_Survey</t>
  </si>
  <si>
    <t>Communication and Network Technologies of IoT in Smart Building A Survey</t>
  </si>
  <si>
    <t>It is a survey paper focusing on communication protocols, lacking a novel physical TinyML deployment.</t>
  </si>
  <si>
    <t>General IoT smart building survey covering communication technologies and applications, but does not address TinyML, on-device deployment, or benchmarking metrics, therefore outside the survey scope.</t>
  </si>
  <si>
    <t>T0127</t>
  </si>
  <si>
    <t>https://ieeexplore.ieee.org/abstract/document/11399311</t>
  </si>
  <si>
    <t>IoT sensor system</t>
  </si>
  <si>
    <t>Traditional IoT sensor system. Fails to mention or deploy any Machine Learning or TinyML models on the edge.</t>
  </si>
  <si>
    <t>T0128</t>
  </si>
  <si>
    <t>https://ieeexplore.ieee.org/abstract/document/11307621</t>
  </si>
  <si>
    <t>ML and ESP32</t>
  </si>
  <si>
    <t>Although it mentions ML and ESP32, the paper fails to report at least two required TinyML performance metrics (Latency, Energy, or Memory) for the on-device inference.</t>
  </si>
  <si>
    <t>This paper doesnt report at least 2 deployment specific metrics required for qualification.</t>
  </si>
  <si>
    <t>T0129</t>
  </si>
  <si>
    <t>https://www.sciencedirect.com/science/article/pii/S2542660524003378</t>
  </si>
  <si>
    <t>Kitchen materials hazards</t>
  </si>
  <si>
    <t>Focused on kitchen materials and cooking-related hazards rather than building-scale functions like occupancy/HVAC/IAQ management or building monitoring infrastructure.</t>
  </si>
  <si>
    <t>ML decision-making is not executed on the MCU/end device, which fails the deployment-centered criteria.</t>
  </si>
  <si>
    <t>T0130</t>
  </si>
  <si>
    <t>https://ieeexplore.ieee.org/abstract/document/10993435</t>
  </si>
  <si>
    <t>IoT sensor node using ESP32</t>
  </si>
  <si>
    <t>Describes a standard IoT sensor node using ESP32 to transmit raw gas and environmental data via LoRa. It lacks on-device Machine Learning/TinyML inference on the edge.</t>
  </si>
  <si>
    <t xml:space="preserve">Doesnt perform on-device deployment </t>
  </si>
  <si>
    <t>T0131</t>
  </si>
  <si>
    <t>https://ieeexplore.ieee.org/abstract/document/11410447</t>
  </si>
  <si>
    <t>Occupancy dynamics and BEMS</t>
  </si>
  <si>
    <t>While relevant to buildings, the study focuses on occupancy dynamics and BEMS regulation strategies without implementing or reporting TinyML-specific metrics (on-device latency/energy) on MCU-class hardware.</t>
  </si>
  <si>
    <t>Fails the metrics rule.doesnt report at least 2 deployment specific metrics required for qualification</t>
  </si>
  <si>
    <t>T0132</t>
  </si>
  <si>
    <t>https://link.springer.com/chapter/10.1007/978-3-031-25825-1_3</t>
  </si>
  <si>
    <t>Conference proceedings</t>
  </si>
  <si>
    <t>This is a full conference proceedings volume (proceedings book), not an individual research paper focusing on TinyML implementations for Smart Buildings.</t>
  </si>
  <si>
    <t>Model evaluation appears simulation or platform-level without measured MCU inference latency, RAM/Flash usage, or hardware-constrained benchmarking.</t>
  </si>
  <si>
    <t>T0133</t>
  </si>
  <si>
    <t>https://www.researchgate.net/publication/356235033_An_SRAM_Optimized_Approach_for_Constant_Memory_Consumption_and_Ultra-fast_Execution_of_ML_Classifiers_on_TinyML_Hardware</t>
  </si>
  <si>
    <t>An SRAM Optimized Approach for Constant Memory Consumption and Ultra fast Execution of ML Classifiers</t>
  </si>
  <si>
    <t>This paper is a generic TinyML systems/optimization contribution and is not framed around a smart-building task</t>
  </si>
  <si>
    <t>Even though it targets MCU hardware, its contribution is deployment technique/engine-level optimization</t>
  </si>
  <si>
    <t>T0134</t>
  </si>
  <si>
    <t>https://www.researchgate.net/publication/391147642_Design_and_Implementation_of_an_ESP32-Based_Intelligent_Industrial_Surveillance_System_for_Real-Time_Fire_Detection_BlackBook_Final_Year_Engineering_Project</t>
  </si>
  <si>
    <t>Design and Implementation of an ESP32 Based Intelligent Industrial Surveillance System</t>
  </si>
  <si>
    <t>The paper is explicitly positioned as an industrial surveillance / enterprise fire detection system using video stream analysis</t>
  </si>
  <si>
    <t>These do not report rigorous MCU deployment metrics (platform + ≥2 of latency/energy/memory for on-device inference)</t>
  </si>
  <si>
    <t>T0135</t>
  </si>
  <si>
    <t>https://www.sciencedirect.com/science/article/pii/S2542660522001512</t>
  </si>
  <si>
    <t>Energy analysis of ML strategies</t>
  </si>
  <si>
    <t>The paper is about energy analysis of various ML strategies and not dataset/benchmark development. Uses an existing dataset but does not contribute a new dataset, no benchmark protocol or reusable evaluation framework introduced.</t>
  </si>
  <si>
    <t>Focuses on IoT intrusion detection and energy consumption of ML models (security/network domain), not Human Activity Recognition (HAR) or Personal IoT sensing tasks; although TinyML is mentioned for inference, the core application domain is cybersecurity IDS rather than behavioral sensing</t>
  </si>
  <si>
    <t>T0136</t>
  </si>
  <si>
    <t>Conceptual discussion</t>
  </si>
  <si>
    <t>Conceptual discussion only. The paper does not include any experimental evaluation, dataset benchmarking, or reported metrics.</t>
  </si>
  <si>
    <t>Focuses on high-level dataset challenges for TinyML in 6G, but lacks quantitative analysis or implementation on real datasets or devices.</t>
  </si>
  <si>
    <t>T0146</t>
  </si>
  <si>
    <t>https://arxiv.org/abs/2206.11791</t>
  </si>
  <si>
    <t>Arxiv paper</t>
  </si>
  <si>
    <t>Paper does not demonstrate deployment on MCU-class hardware and appears to rely on general-purpose compute platforms. Therefore, it falls outside the TinyML platform scope.</t>
  </si>
  <si>
    <t>Although relevant to ML/IoT tasks, the work lacks evidence of execution on resource-constrained microcontrollers. Platform is not aligned with TinyML requirements.</t>
  </si>
  <si>
    <t>T0148</t>
  </si>
  <si>
    <t>https://dl.acm.org/doi/10.1145/3441250.3441277</t>
  </si>
  <si>
    <t>MLPerf MLMark</t>
  </si>
  <si>
    <t>Paper analyzes existing ML benchmarks (MLPerf, MLMark) across a wide range of platforms including cloud and server systems. It does not introduce a new dataset, benchmark, or TinyML-specific evaluation framework, so it is out of scope for this section.</t>
  </si>
  <si>
    <t>Comparative study of existing MLPerf/MLMark benchmark results across broad hardware categories, including servers and cloud accelerators, but does not contribute a new TinyML benchmark, dataset, or MCU-focused benchmarking methodology. Outside the scope of the Datasets/Benchmarking corpus.</t>
  </si>
  <si>
    <t>T0150</t>
  </si>
  <si>
    <t>https://arxiv.org/abs/2410.12032</t>
  </si>
  <si>
    <t>MLPerf Power</t>
  </si>
  <si>
    <t>Introduces MLPerf Power for evaluating energy efficiency across diverse ML systems, including edge and datacenter platforms. However, it is not specific to TinyML or MCU-level deployments, so it is considered out of scope for this section.</t>
  </si>
  <si>
    <t>Paper presents a cross-scale benchmarking methodology rather than a TinyML-focused dataset or MCU benchmarking study. Due to its broad scope beyond resource-constrained devices, it does not align with the Datasets/Benchmarking criteria.</t>
  </si>
  <si>
    <t>T0151</t>
  </si>
  <si>
    <t>https://ieeexplore.ieee.org/abstract/document/11378822</t>
  </si>
  <si>
    <t>ESP32 Fire Detection Gateway</t>
  </si>
  <si>
    <t>The computer vision inference (OpenCV, NumPy, Flask) is performed on a server/workstation.</t>
  </si>
  <si>
    <t>ESP32 is used only as a communication gateway violates the mcu-class deployment constraint</t>
  </si>
</sst>
</file>

<file path=xl/styles.xml><?xml version="1.0" encoding="utf-8"?>
<styleSheet xmlns="http://schemas.openxmlformats.org/spreadsheetml/2006/main" xmlns:x14ac="http://schemas.microsoft.com/office/spreadsheetml/2009/9/ac" xmlns:mc="http://schemas.openxmlformats.org/markup-compatibility/2006">
  <fonts count="68">
    <font>
      <sz val="10.0"/>
      <color rgb="FF000000"/>
      <name val="Arial"/>
      <scheme val="minor"/>
    </font>
    <font>
      <b/>
      <color theme="1"/>
      <name val="Google Sans"/>
    </font>
    <font>
      <b/>
      <color rgb="FF000000"/>
      <name val="Google Sans"/>
    </font>
    <font>
      <b/>
      <color theme="1"/>
      <name val="Arial"/>
    </font>
    <font>
      <color theme="1"/>
      <name val="Google Sans"/>
    </font>
    <font>
      <color rgb="FF000000"/>
      <name val="Google Sans"/>
    </font>
    <font>
      <u/>
      <color rgb="FF0000FF"/>
      <name val="Google Sans"/>
    </font>
    <font>
      <color theme="1"/>
      <name val="Arial"/>
    </font>
    <font>
      <u/>
      <color rgb="FF1155CC"/>
      <name val="Google Sans"/>
    </font>
    <font>
      <color theme="1"/>
      <name val="Arial"/>
      <scheme val="minor"/>
    </font>
    <font>
      <u/>
      <color rgb="FF0000FF"/>
      <name val="Google Sans"/>
    </font>
    <font>
      <u/>
      <color rgb="FF0000FF"/>
      <name val="Google Sans"/>
    </font>
    <font>
      <sz val="10.0"/>
      <color rgb="FF000000"/>
      <name val="Google Sans"/>
    </font>
    <font>
      <u/>
      <color rgb="FF0000FF"/>
      <name val="Google Sans"/>
    </font>
    <font>
      <u/>
      <color rgb="FF0000FF"/>
      <name val="Google Sans"/>
    </font>
    <font>
      <u/>
      <color rgb="FF000000"/>
      <name val="Google Sans"/>
    </font>
    <font>
      <sz val="10.0"/>
      <color theme="1"/>
      <name val="Google Sans"/>
    </font>
    <font>
      <sz val="10.0"/>
      <color rgb="FF1F1F1F"/>
      <name val="Google Sans"/>
    </font>
    <font>
      <sz val="10.0"/>
      <color rgb="FF222222"/>
      <name val="Google Sans"/>
    </font>
    <font>
      <u/>
      <color rgb="FF1155CC"/>
      <name val="Google Sans"/>
    </font>
    <font>
      <u/>
      <color rgb="FF000000"/>
      <name val="Google Sans"/>
    </font>
    <font>
      <u/>
      <color theme="1"/>
      <name val="Google Sans"/>
    </font>
    <font>
      <u/>
      <sz val="10.0"/>
      <color rgb="FF000000"/>
      <name val="Google Sans"/>
    </font>
    <font>
      <u/>
      <color rgb="FF0000FF"/>
      <name val="Google Sans"/>
    </font>
    <font>
      <color rgb="FF1F1F1F"/>
      <name val="Google Sans"/>
    </font>
    <font>
      <b/>
      <color rgb="FF1F1F1F"/>
      <name val="Google Sans"/>
    </font>
    <font>
      <color rgb="FF1B222C"/>
      <name val="Google Sans"/>
    </font>
    <font>
      <u/>
      <color rgb="FF1F1F1F"/>
      <name val="Google Sans"/>
    </font>
    <font>
      <u/>
      <color rgb="FF0000FF"/>
      <name val="Google Sans"/>
    </font>
    <font>
      <color theme="1"/>
      <name val="Google Sans Text"/>
    </font>
    <font>
      <u/>
      <color theme="1"/>
      <name val="Google Sans"/>
    </font>
    <font>
      <u/>
      <color rgb="FF1155CC"/>
      <name val="Google Sans"/>
    </font>
    <font>
      <u/>
      <color rgb="FF1155CC"/>
      <name val="Google Sans"/>
    </font>
    <font>
      <u/>
      <color rgb="FF0000FF"/>
      <name val="Google Sans"/>
    </font>
    <font>
      <u/>
      <color rgb="FF1155CC"/>
      <name val="Google Sans"/>
    </font>
    <font>
      <u/>
      <color rgb="FF0000FF"/>
      <name val="Google Sans"/>
    </font>
    <font>
      <u/>
      <color rgb="FF0000FF"/>
      <name val="Google Sans"/>
    </font>
    <font>
      <u/>
      <color rgb="FF0000FF"/>
      <name val="Google Sans"/>
    </font>
    <font>
      <b/>
      <sz val="11.0"/>
      <color rgb="FF000000"/>
      <name val="Google Sans"/>
    </font>
    <font>
      <sz val="11.0"/>
      <color rgb="FF000000"/>
      <name val="Google Sans"/>
    </font>
    <font>
      <u/>
      <sz val="11.0"/>
      <color rgb="FF000000"/>
      <name val="Google Sans"/>
    </font>
    <font>
      <sz val="11.0"/>
      <color theme="1"/>
      <name val="Google Sans"/>
    </font>
    <font>
      <u/>
      <sz val="11.0"/>
      <color rgb="FF0000FF"/>
      <name val="Google Sans"/>
    </font>
    <font>
      <sz val="11.0"/>
      <color rgb="FF000000"/>
      <name val="Calibri"/>
    </font>
    <font>
      <b/>
      <sz val="10.0"/>
      <color rgb="FF000000"/>
      <name val="Google Sans"/>
    </font>
    <font>
      <u/>
      <sz val="10.0"/>
      <color rgb="FF0000FF"/>
      <name val="Google Sans"/>
    </font>
    <font>
      <sz val="11.0"/>
      <color rgb="FF000000"/>
      <name val="Google Sans Text"/>
    </font>
    <font>
      <b/>
      <sz val="10.0"/>
      <color theme="1"/>
      <name val="Google Sans"/>
    </font>
    <font>
      <u/>
      <sz val="10.0"/>
      <color rgb="FF0000FF"/>
      <name val="Google Sans"/>
    </font>
    <font>
      <u/>
      <color theme="1"/>
      <name val="Google Sans"/>
    </font>
    <font>
      <u/>
      <color rgb="FF000000"/>
      <name val="Google Sans"/>
    </font>
    <font>
      <u/>
      <color rgb="FF0000FF"/>
      <name val="Google Sans"/>
    </font>
    <font>
      <u/>
      <color rgb="FF1155CC"/>
      <name val="Google Sans"/>
    </font>
    <font>
      <color rgb="FF333333"/>
      <name val="Google Sans"/>
    </font>
    <font>
      <u/>
      <color theme="1"/>
      <name val="Google Sans"/>
    </font>
    <font>
      <u/>
      <color rgb="FF1F1F1F"/>
      <name val="Google Sans"/>
    </font>
    <font>
      <u/>
      <color rgb="FF1F1F1F"/>
      <name val="Google Sans"/>
    </font>
    <font>
      <u/>
      <color rgb="FF0000FF"/>
      <name val="Google Sans"/>
    </font>
    <font>
      <u/>
      <color rgb="FF0000FF"/>
      <name val="Google Sans"/>
    </font>
    <font>
      <u/>
      <sz val="10.0"/>
      <color rgb="FF000000"/>
      <name val="Google Sans"/>
    </font>
    <font>
      <u/>
      <color rgb="FF0000FF"/>
      <name val="Google Sans"/>
    </font>
    <font>
      <u/>
      <color rgb="FF0000FF"/>
      <name val="Google Sans"/>
    </font>
    <font>
      <u/>
      <color rgb="FF0000FF"/>
      <name val="Google Sans"/>
    </font>
    <font>
      <color rgb="FF000000"/>
      <name val="Arial"/>
    </font>
    <font>
      <color rgb="FF000000"/>
      <name val="Arial"/>
      <scheme val="minor"/>
    </font>
    <font>
      <color rgb="FF000000"/>
      <name val="&quot;Google Sans Text&quot;"/>
    </font>
    <font>
      <sz val="10.0"/>
      <color rgb="FF000000"/>
      <name val="Arial"/>
    </font>
    <font>
      <b/>
      <sz val="10.0"/>
      <color rgb="FF000000"/>
      <name val="Arial"/>
    </font>
  </fonts>
  <fills count="7">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8F8F8"/>
        <bgColor rgb="FFF8F8F8"/>
      </patternFill>
    </fill>
  </fills>
  <borders count="12">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2" fillId="2" fontId="1" numFmtId="0" xfId="0" applyAlignment="1" applyBorder="1" applyFont="1">
      <alignment horizontal="left" shrinkToFit="0" wrapText="0"/>
    </xf>
    <xf borderId="2" fillId="2" fontId="2" numFmtId="0" xfId="0" applyAlignment="1" applyBorder="1" applyFont="1">
      <alignment horizontal="left" shrinkToFit="0" wrapText="0"/>
    </xf>
    <xf borderId="2" fillId="2" fontId="1" numFmtId="0" xfId="0" applyAlignment="1" applyBorder="1" applyFont="1">
      <alignment shrinkToFit="0" vertical="bottom" wrapText="0"/>
    </xf>
    <xf borderId="2" fillId="2" fontId="1" numFmtId="0" xfId="0" applyAlignment="1" applyBorder="1" applyFont="1">
      <alignment horizontal="left" readingOrder="0" shrinkToFit="0" wrapText="0"/>
    </xf>
    <xf borderId="3" fillId="2" fontId="1" numFmtId="0" xfId="0" applyAlignment="1" applyBorder="1" applyFont="1">
      <alignment horizontal="left" readingOrder="0" shrinkToFit="0" wrapText="0"/>
    </xf>
    <xf borderId="0" fillId="0" fontId="3" numFmtId="0" xfId="0" applyAlignment="1" applyFont="1">
      <alignment shrinkToFit="0" wrapText="1"/>
    </xf>
    <xf borderId="0" fillId="0" fontId="3" numFmtId="0" xfId="0" applyAlignment="1" applyFont="1">
      <alignment readingOrder="0"/>
    </xf>
    <xf borderId="0" fillId="0" fontId="3" numFmtId="0" xfId="0" applyFont="1"/>
    <xf borderId="4" fillId="0" fontId="1" numFmtId="0" xfId="0" applyAlignment="1" applyBorder="1" applyFont="1">
      <alignment horizontal="left" shrinkToFit="0" wrapText="0"/>
    </xf>
    <xf borderId="5" fillId="0" fontId="4" numFmtId="0" xfId="0" applyAlignment="1" applyBorder="1" applyFont="1">
      <alignment horizontal="left" shrinkToFit="0" wrapText="0"/>
    </xf>
    <xf borderId="5" fillId="0" fontId="4" numFmtId="0" xfId="0" applyAlignment="1" applyBorder="1" applyFont="1">
      <alignment horizontal="left" readingOrder="0" shrinkToFit="0" wrapText="0"/>
    </xf>
    <xf borderId="5" fillId="0" fontId="5" numFmtId="0" xfId="0" applyAlignment="1" applyBorder="1" applyFont="1">
      <alignment horizontal="left" shrinkToFit="0" wrapText="0"/>
    </xf>
    <xf borderId="5" fillId="0" fontId="4" numFmtId="0" xfId="0" applyAlignment="1" applyBorder="1" applyFont="1">
      <alignment shrinkToFit="0" vertical="bottom" wrapText="0"/>
    </xf>
    <xf borderId="5" fillId="0" fontId="4" numFmtId="0" xfId="0" applyAlignment="1" applyBorder="1" applyFont="1">
      <alignment shrinkToFit="0" vertical="bottom" wrapText="0"/>
    </xf>
    <xf borderId="5" fillId="0" fontId="4" numFmtId="10" xfId="0" applyAlignment="1" applyBorder="1" applyFont="1" applyNumberFormat="1">
      <alignment horizontal="left" shrinkToFit="0" wrapText="0"/>
    </xf>
    <xf borderId="5" fillId="0" fontId="6" numFmtId="0" xfId="0" applyAlignment="1" applyBorder="1" applyFont="1">
      <alignment horizontal="left" shrinkToFit="0" wrapText="0"/>
    </xf>
    <xf borderId="5" fillId="0" fontId="4" numFmtId="0" xfId="0" applyAlignment="1" applyBorder="1" applyFont="1">
      <alignment horizontal="left" readingOrder="0" shrinkToFit="0" wrapText="0"/>
    </xf>
    <xf borderId="6" fillId="0" fontId="4" numFmtId="0" xfId="0" applyAlignment="1" applyBorder="1" applyFont="1">
      <alignment horizontal="left" readingOrder="0" shrinkToFit="0" wrapText="0"/>
    </xf>
    <xf borderId="0" fillId="0" fontId="7" numFmtId="0" xfId="0" applyAlignment="1" applyFont="1">
      <alignment horizontal="left" shrinkToFit="0" wrapText="1"/>
    </xf>
    <xf borderId="0" fillId="0" fontId="7" numFmtId="0" xfId="0" applyAlignment="1" applyFont="1">
      <alignment horizontal="left"/>
    </xf>
    <xf borderId="5" fillId="0" fontId="8" numFmtId="0" xfId="0" applyAlignment="1" applyBorder="1" applyFont="1">
      <alignment horizontal="left" shrinkToFit="0" vertical="bottom" wrapText="0"/>
    </xf>
    <xf borderId="5" fillId="0" fontId="4" numFmtId="0" xfId="0" applyAlignment="1" applyBorder="1" applyFont="1">
      <alignment horizontal="left" shrinkToFit="0" vertical="bottom" wrapText="0"/>
    </xf>
    <xf borderId="0" fillId="0" fontId="9" numFmtId="0" xfId="0" applyAlignment="1" applyFont="1">
      <alignment horizontal="left"/>
    </xf>
    <xf quotePrefix="1" borderId="5" fillId="0" fontId="4" numFmtId="0" xfId="0" applyAlignment="1" applyBorder="1" applyFont="1">
      <alignment horizontal="left" shrinkToFit="0" wrapText="0"/>
    </xf>
    <xf borderId="5" fillId="0" fontId="4" numFmtId="0" xfId="0" applyAlignment="1" applyBorder="1" applyFont="1">
      <alignment readingOrder="0" shrinkToFit="0" wrapText="0"/>
    </xf>
    <xf borderId="0" fillId="0" fontId="9" numFmtId="0" xfId="0" applyAlignment="1" applyFont="1">
      <alignment horizontal="left" readingOrder="0"/>
    </xf>
    <xf borderId="5" fillId="3" fontId="4" numFmtId="0" xfId="0" applyAlignment="1" applyBorder="1" applyFill="1" applyFont="1">
      <alignment shrinkToFit="0" vertical="bottom" wrapText="0"/>
    </xf>
    <xf borderId="5" fillId="0" fontId="10" numFmtId="0" xfId="0" applyAlignment="1" applyBorder="1" applyFont="1">
      <alignment horizontal="left" readingOrder="0" shrinkToFit="0" wrapText="0"/>
    </xf>
    <xf borderId="5" fillId="0" fontId="5" numFmtId="0" xfId="0" applyAlignment="1" applyBorder="1" applyFont="1">
      <alignment horizontal="left" readingOrder="0" shrinkToFit="0" wrapText="0"/>
    </xf>
    <xf borderId="4" fillId="0" fontId="1" numFmtId="0" xfId="0" applyAlignment="1" applyBorder="1" applyFont="1">
      <alignment horizontal="left" readingOrder="0" shrinkToFit="0" wrapText="0"/>
    </xf>
    <xf borderId="5" fillId="0" fontId="4" numFmtId="0" xfId="0" applyAlignment="1" applyBorder="1" applyFont="1">
      <alignment horizontal="left" readingOrder="0" shrinkToFit="0" wrapText="0"/>
    </xf>
    <xf borderId="5" fillId="0" fontId="11" numFmtId="0" xfId="0" applyAlignment="1" applyBorder="1" applyFont="1">
      <alignment horizontal="left" readingOrder="0" shrinkToFit="0" wrapText="0"/>
    </xf>
    <xf borderId="5" fillId="3" fontId="12" numFmtId="0" xfId="0" applyAlignment="1" applyBorder="1" applyFont="1">
      <alignment horizontal="left" shrinkToFit="0" wrapText="0"/>
    </xf>
    <xf borderId="4" fillId="0" fontId="1" numFmtId="0" xfId="0" applyAlignment="1" applyBorder="1" applyFont="1">
      <alignment horizontal="left" shrinkToFit="0" vertical="bottom" wrapText="0"/>
    </xf>
    <xf borderId="5" fillId="0" fontId="13" numFmtId="0" xfId="0" applyAlignment="1" applyBorder="1" applyFont="1">
      <alignment horizontal="left" readingOrder="0" shrinkToFit="0" vertical="bottom" wrapText="0"/>
    </xf>
    <xf borderId="5" fillId="0" fontId="14" numFmtId="0" xfId="0" applyAlignment="1" applyBorder="1" applyFont="1">
      <alignment horizontal="left" shrinkToFit="0" vertical="bottom" wrapText="0"/>
    </xf>
    <xf borderId="5" fillId="0" fontId="4" numFmtId="0" xfId="0" applyAlignment="1" applyBorder="1" applyFont="1">
      <alignment horizontal="left" readingOrder="0" shrinkToFit="0" vertical="bottom" wrapText="0"/>
    </xf>
    <xf borderId="0" fillId="0" fontId="7" numFmtId="0" xfId="0" applyAlignment="1" applyFont="1">
      <alignment horizontal="left" shrinkToFit="0" vertical="bottom" wrapText="1"/>
    </xf>
    <xf borderId="0" fillId="0" fontId="7" numFmtId="0" xfId="0" applyAlignment="1" applyFont="1">
      <alignment horizontal="left" vertical="bottom"/>
    </xf>
    <xf borderId="5" fillId="0" fontId="15" numFmtId="0" xfId="0" applyAlignment="1" applyBorder="1" applyFont="1">
      <alignment horizontal="left" readingOrder="0" shrinkToFit="0" vertical="bottom" wrapText="0"/>
    </xf>
    <xf borderId="5" fillId="0" fontId="5" numFmtId="0" xfId="0" applyAlignment="1" applyBorder="1" applyFont="1">
      <alignment horizontal="left" shrinkToFit="0" vertical="bottom" wrapText="0"/>
    </xf>
    <xf borderId="5" fillId="0" fontId="16" numFmtId="0" xfId="0" applyAlignment="1" applyBorder="1" applyFont="1">
      <alignment horizontal="left" shrinkToFit="0" wrapText="0"/>
    </xf>
    <xf borderId="5" fillId="0" fontId="17" numFmtId="9" xfId="0" applyAlignment="1" applyBorder="1" applyFont="1" applyNumberFormat="1">
      <alignment horizontal="left" shrinkToFit="0" wrapText="0"/>
    </xf>
    <xf borderId="5" fillId="3" fontId="18" numFmtId="0" xfId="0" applyAlignment="1" applyBorder="1" applyFont="1">
      <alignment horizontal="left" shrinkToFit="0" wrapText="0"/>
    </xf>
    <xf borderId="5" fillId="0" fontId="4" numFmtId="10" xfId="0" applyAlignment="1" applyBorder="1" applyFont="1" applyNumberFormat="1">
      <alignment horizontal="left" shrinkToFit="0" vertical="bottom" wrapText="0"/>
    </xf>
    <xf borderId="5" fillId="3" fontId="4" numFmtId="0" xfId="0" applyAlignment="1" applyBorder="1" applyFont="1">
      <alignment horizontal="left" readingOrder="0" shrinkToFit="0" wrapText="0"/>
    </xf>
    <xf borderId="4" fillId="0" fontId="1" numFmtId="0" xfId="0" applyAlignment="1" applyBorder="1" applyFont="1">
      <alignment shrinkToFit="0" vertical="bottom" wrapText="0"/>
    </xf>
    <xf borderId="5" fillId="0" fontId="4" numFmtId="0" xfId="0" applyAlignment="1" applyBorder="1" applyFont="1">
      <alignment horizontal="right" shrinkToFit="0" vertical="bottom" wrapText="0"/>
    </xf>
    <xf borderId="5" fillId="0" fontId="4" numFmtId="0" xfId="0" applyAlignment="1" applyBorder="1" applyFont="1">
      <alignment readingOrder="0" shrinkToFit="0" vertical="bottom" wrapText="0"/>
    </xf>
    <xf borderId="5" fillId="0" fontId="19" numFmtId="0" xfId="0" applyAlignment="1" applyBorder="1" applyFont="1">
      <alignment shrinkToFit="0" vertical="bottom" wrapText="0"/>
    </xf>
    <xf borderId="0" fillId="0" fontId="7" numFmtId="0" xfId="0" applyAlignment="1" applyFont="1">
      <alignment shrinkToFit="0" wrapText="1"/>
    </xf>
    <xf borderId="4" fillId="0" fontId="1" numFmtId="0" xfId="0" applyAlignment="1" applyBorder="1" applyFont="1">
      <alignment horizontal="left" readingOrder="0" shrinkToFit="0" vertical="bottom" wrapText="0"/>
    </xf>
    <xf borderId="5" fillId="0" fontId="20" numFmtId="0" xfId="0" applyAlignment="1" applyBorder="1" applyFont="1">
      <alignment horizontal="left" readingOrder="0" shrinkToFit="0" wrapText="0"/>
    </xf>
    <xf borderId="5" fillId="0" fontId="21" numFmtId="0" xfId="0" applyAlignment="1" applyBorder="1" applyFont="1">
      <alignment horizontal="left" readingOrder="0" shrinkToFit="0" wrapText="0"/>
    </xf>
    <xf borderId="5" fillId="4" fontId="12" numFmtId="0" xfId="0" applyAlignment="1" applyBorder="1" applyFill="1" applyFont="1">
      <alignment horizontal="left" readingOrder="0" shrinkToFit="0" wrapText="0"/>
    </xf>
    <xf borderId="5" fillId="0" fontId="4" numFmtId="10" xfId="0" applyAlignment="1" applyBorder="1" applyFont="1" applyNumberFormat="1">
      <alignment horizontal="left" readingOrder="0" shrinkToFit="0" wrapText="0"/>
    </xf>
    <xf borderId="5" fillId="3" fontId="5" numFmtId="0" xfId="0" applyAlignment="1" applyBorder="1" applyFont="1">
      <alignment horizontal="left" readingOrder="0" shrinkToFit="0" wrapText="0"/>
    </xf>
    <xf borderId="5" fillId="3" fontId="12" numFmtId="0" xfId="0" applyAlignment="1" applyBorder="1" applyFont="1">
      <alignment horizontal="left" readingOrder="0" shrinkToFit="0" wrapText="0"/>
    </xf>
    <xf borderId="5" fillId="3" fontId="5" numFmtId="0" xfId="0" applyAlignment="1" applyBorder="1" applyFont="1">
      <alignment horizontal="left" readingOrder="0" shrinkToFit="0" vertical="bottom" wrapText="0"/>
    </xf>
    <xf borderId="5" fillId="3" fontId="12" numFmtId="0" xfId="0" applyAlignment="1" applyBorder="1" applyFont="1">
      <alignment horizontal="left" readingOrder="0" shrinkToFit="0" vertical="bottom" wrapText="0"/>
    </xf>
    <xf borderId="5" fillId="3" fontId="22" numFmtId="0" xfId="0" applyAlignment="1" applyBorder="1" applyFont="1">
      <alignment horizontal="left" readingOrder="0" shrinkToFit="0" vertical="bottom" wrapText="0"/>
    </xf>
    <xf borderId="5" fillId="3" fontId="12" numFmtId="0" xfId="0" applyAlignment="1" applyBorder="1" applyFont="1">
      <alignment horizontal="left" shrinkToFit="0" vertical="bottom" wrapText="0"/>
    </xf>
    <xf borderId="5" fillId="3" fontId="4" numFmtId="0" xfId="0" applyAlignment="1" applyBorder="1" applyFont="1">
      <alignment shrinkToFit="0" vertical="bottom" wrapText="0"/>
    </xf>
    <xf borderId="5" fillId="0" fontId="23" numFmtId="0" xfId="0" applyAlignment="1" applyBorder="1" applyFont="1">
      <alignment horizontal="left" readingOrder="0" shrinkToFit="0" vertical="bottom" wrapText="0"/>
    </xf>
    <xf borderId="6" fillId="0" fontId="4" numFmtId="0" xfId="0" applyAlignment="1" applyBorder="1" applyFont="1">
      <alignment horizontal="left" readingOrder="0" shrinkToFit="0" vertical="bottom" wrapText="0"/>
    </xf>
    <xf borderId="0" fillId="0" fontId="7" numFmtId="0" xfId="0" applyAlignment="1" applyFont="1">
      <alignment horizontal="left" vertical="bottom"/>
    </xf>
    <xf borderId="5" fillId="0" fontId="24" numFmtId="0" xfId="0" applyAlignment="1" applyBorder="1" applyFont="1">
      <alignment horizontal="left" readingOrder="0" shrinkToFit="0" wrapText="0"/>
    </xf>
    <xf borderId="4" fillId="0" fontId="25" numFmtId="0" xfId="0" applyAlignment="1" applyBorder="1" applyFont="1">
      <alignment horizontal="left" shrinkToFit="0" vertical="bottom" wrapText="0"/>
    </xf>
    <xf borderId="5" fillId="3" fontId="26" numFmtId="0" xfId="0" applyAlignment="1" applyBorder="1" applyFont="1">
      <alignment horizontal="left" shrinkToFit="0" vertical="bottom" wrapText="0"/>
    </xf>
    <xf borderId="5" fillId="0" fontId="24" numFmtId="0" xfId="0" applyAlignment="1" applyBorder="1" applyFont="1">
      <alignment horizontal="left" shrinkToFit="0" vertical="bottom" wrapText="0"/>
    </xf>
    <xf borderId="5" fillId="0" fontId="24" numFmtId="0" xfId="0" applyAlignment="1" applyBorder="1" applyFont="1">
      <alignment shrinkToFit="0" vertical="bottom" wrapText="0"/>
    </xf>
    <xf borderId="5" fillId="0" fontId="24" numFmtId="0" xfId="0" applyAlignment="1" applyBorder="1" applyFont="1">
      <alignment horizontal="left" shrinkToFit="0" vertical="bottom" wrapText="0"/>
    </xf>
    <xf borderId="5" fillId="0" fontId="27" numFmtId="0" xfId="0" applyAlignment="1" applyBorder="1" applyFont="1">
      <alignment horizontal="left" shrinkToFit="0" vertical="bottom" wrapText="0"/>
    </xf>
    <xf borderId="5" fillId="0" fontId="4" numFmtId="0" xfId="0" applyAlignment="1" applyBorder="1" applyFont="1">
      <alignment horizontal="left" shrinkToFit="0" vertical="bottom" wrapText="0"/>
    </xf>
    <xf borderId="0" fillId="0" fontId="7" numFmtId="0" xfId="0" applyAlignment="1" applyFont="1">
      <alignment vertical="bottom"/>
    </xf>
    <xf borderId="0" fillId="0" fontId="7" numFmtId="0" xfId="0" applyAlignment="1" applyFont="1">
      <alignment vertical="bottom"/>
    </xf>
    <xf borderId="5" fillId="3" fontId="26" numFmtId="0" xfId="0" applyAlignment="1" applyBorder="1" applyFont="1">
      <alignment horizontal="left" readingOrder="0" shrinkToFit="0" wrapText="0"/>
    </xf>
    <xf borderId="5" fillId="0" fontId="28" numFmtId="0" xfId="0" applyAlignment="1" applyBorder="1" applyFont="1">
      <alignment horizontal="left" readingOrder="0" shrinkToFit="0" wrapText="0"/>
    </xf>
    <xf borderId="0" fillId="0" fontId="29" numFmtId="0" xfId="0" applyAlignment="1" applyFont="1">
      <alignment horizontal="left" vertical="bottom"/>
    </xf>
    <xf borderId="5" fillId="0" fontId="24" numFmtId="9" xfId="0" applyAlignment="1" applyBorder="1" applyFont="1" applyNumberFormat="1">
      <alignment horizontal="left" shrinkToFit="0" vertical="bottom" wrapText="0"/>
    </xf>
    <xf borderId="5" fillId="5" fontId="4" numFmtId="0" xfId="0" applyAlignment="1" applyBorder="1" applyFill="1" applyFont="1">
      <alignment horizontal="left" shrinkToFit="0" vertical="bottom" wrapText="0"/>
    </xf>
    <xf borderId="5" fillId="0" fontId="30" numFmtId="0" xfId="0" applyAlignment="1" applyBorder="1" applyFont="1">
      <alignment horizontal="left" readingOrder="0" shrinkToFit="0" wrapText="0"/>
    </xf>
    <xf borderId="4" fillId="4" fontId="1" numFmtId="0" xfId="0" applyAlignment="1" applyBorder="1" applyFont="1">
      <alignment horizontal="left" readingOrder="0" shrinkToFit="0" wrapText="0"/>
    </xf>
    <xf borderId="5" fillId="3" fontId="4" numFmtId="0" xfId="0" applyAlignment="1" applyBorder="1" applyFont="1">
      <alignment horizontal="left" shrinkToFit="0" vertical="bottom" wrapText="0"/>
    </xf>
    <xf borderId="5" fillId="3" fontId="31" numFmtId="0" xfId="0" applyAlignment="1" applyBorder="1" applyFont="1">
      <alignment horizontal="left" shrinkToFit="0" vertical="bottom" wrapText="0"/>
    </xf>
    <xf borderId="5" fillId="4" fontId="4" numFmtId="0" xfId="0" applyAlignment="1" applyBorder="1" applyFont="1">
      <alignment horizontal="left" readingOrder="0" shrinkToFit="0" wrapText="0"/>
    </xf>
    <xf borderId="5" fillId="4" fontId="5" numFmtId="0" xfId="0" applyAlignment="1" applyBorder="1" applyFont="1">
      <alignment horizontal="left" readingOrder="0" shrinkToFit="0" wrapText="0"/>
    </xf>
    <xf borderId="5" fillId="4" fontId="4" numFmtId="0" xfId="0" applyAlignment="1" applyBorder="1" applyFont="1">
      <alignment horizontal="left" shrinkToFit="0" wrapText="0"/>
    </xf>
    <xf borderId="5" fillId="0" fontId="4" numFmtId="0" xfId="0" applyAlignment="1" applyBorder="1" applyFont="1">
      <alignment shrinkToFit="0" vertical="bottom" wrapText="0"/>
    </xf>
    <xf borderId="5" fillId="0" fontId="4" numFmtId="0" xfId="0" applyAlignment="1" applyBorder="1" applyFont="1">
      <alignment horizontal="left" shrinkToFit="0" vertical="bottom" wrapText="0"/>
    </xf>
    <xf borderId="5" fillId="3" fontId="32" numFmtId="0" xfId="0" applyAlignment="1" applyBorder="1" applyFont="1">
      <alignment horizontal="left" shrinkToFit="0" vertical="bottom" wrapText="0"/>
    </xf>
    <xf borderId="5" fillId="3" fontId="4" numFmtId="0" xfId="0" applyAlignment="1" applyBorder="1" applyFont="1">
      <alignment horizontal="left" readingOrder="0" shrinkToFit="0" vertical="bottom" wrapText="0"/>
    </xf>
    <xf borderId="0" fillId="0" fontId="7" numFmtId="0" xfId="0" applyAlignment="1" applyFont="1">
      <alignment horizontal="left" shrinkToFit="0" wrapText="0"/>
    </xf>
    <xf borderId="0" fillId="0" fontId="9" numFmtId="0" xfId="0" applyAlignment="1" applyFont="1">
      <alignment horizontal="left" shrinkToFit="0" wrapText="0"/>
    </xf>
    <xf borderId="5" fillId="3" fontId="33" numFmtId="0" xfId="0" applyAlignment="1" applyBorder="1" applyFont="1">
      <alignment horizontal="left" readingOrder="0" shrinkToFit="0" vertical="bottom" wrapText="0"/>
    </xf>
    <xf borderId="5" fillId="0" fontId="34" numFmtId="0" xfId="0" applyAlignment="1" applyBorder="1" applyFont="1">
      <alignment horizontal="left" shrinkToFit="0" vertical="bottom" wrapText="0"/>
    </xf>
    <xf borderId="4" fillId="3" fontId="1" numFmtId="0" xfId="0" applyAlignment="1" applyBorder="1" applyFont="1">
      <alignment horizontal="left" readingOrder="0" shrinkToFit="0" wrapText="0"/>
    </xf>
    <xf borderId="5" fillId="3" fontId="4" numFmtId="10" xfId="0" applyAlignment="1" applyBorder="1" applyFont="1" applyNumberFormat="1">
      <alignment horizontal="left" readingOrder="0" shrinkToFit="0" wrapText="0"/>
    </xf>
    <xf borderId="5" fillId="3" fontId="35" numFmtId="0" xfId="0" applyAlignment="1" applyBorder="1" applyFont="1">
      <alignment horizontal="left" readingOrder="0" shrinkToFit="0" wrapText="0"/>
    </xf>
    <xf borderId="5" fillId="3" fontId="36" numFmtId="0" xfId="0" applyAlignment="1" applyBorder="1" applyFont="1">
      <alignment horizontal="left" readingOrder="0" shrinkToFit="0" vertical="bottom" wrapText="0"/>
    </xf>
    <xf borderId="6" fillId="3" fontId="4" numFmtId="0" xfId="0" applyAlignment="1" applyBorder="1" applyFont="1">
      <alignment horizontal="left" readingOrder="0" shrinkToFit="0" wrapText="0"/>
    </xf>
    <xf borderId="0" fillId="3" fontId="7" numFmtId="0" xfId="0" applyAlignment="1" applyFont="1">
      <alignment horizontal="left" shrinkToFit="0" wrapText="0"/>
    </xf>
    <xf borderId="0" fillId="3" fontId="9" numFmtId="0" xfId="0" applyAlignment="1" applyFont="1">
      <alignment horizontal="left" shrinkToFit="0" wrapText="0"/>
    </xf>
    <xf borderId="5" fillId="3" fontId="37" numFmtId="0" xfId="0" applyAlignment="1" applyBorder="1" applyFont="1">
      <alignment horizontal="left" readingOrder="0" shrinkToFit="0" wrapText="0"/>
    </xf>
    <xf borderId="5" fillId="0" fontId="4" numFmtId="0" xfId="0" applyAlignment="1" applyBorder="1" applyFont="1">
      <alignment horizontal="left" readingOrder="0" shrinkToFit="0" wrapText="0"/>
    </xf>
    <xf borderId="5" fillId="3" fontId="4" numFmtId="0" xfId="0" applyAlignment="1" applyBorder="1" applyFont="1">
      <alignment horizontal="left" readingOrder="0" shrinkToFit="0" wrapText="0"/>
    </xf>
    <xf borderId="0" fillId="3" fontId="7" numFmtId="0" xfId="0" applyAlignment="1" applyFont="1">
      <alignment horizontal="left" readingOrder="0" shrinkToFit="0" wrapText="0"/>
    </xf>
    <xf borderId="0" fillId="3" fontId="9" numFmtId="0" xfId="0" applyAlignment="1" applyFont="1">
      <alignment horizontal="left" shrinkToFit="0" wrapText="0"/>
    </xf>
    <xf borderId="5" fillId="3" fontId="26" numFmtId="0" xfId="0" applyAlignment="1" applyBorder="1" applyFont="1">
      <alignment shrinkToFit="0" vertical="bottom" wrapText="0"/>
    </xf>
    <xf borderId="5" fillId="0" fontId="4" numFmtId="9" xfId="0" applyAlignment="1" applyBorder="1" applyFont="1" applyNumberFormat="1">
      <alignment horizontal="left" readingOrder="0" shrinkToFit="0" wrapText="0"/>
    </xf>
    <xf borderId="4" fillId="0" fontId="38" numFmtId="0" xfId="0" applyAlignment="1" applyBorder="1" applyFont="1">
      <alignment horizontal="left" readingOrder="0" shrinkToFit="0" vertical="bottom" wrapText="0"/>
    </xf>
    <xf borderId="5" fillId="0" fontId="39" numFmtId="0" xfId="0" applyAlignment="1" applyBorder="1" applyFont="1">
      <alignment horizontal="left" readingOrder="0" shrinkToFit="0" vertical="bottom" wrapText="0"/>
    </xf>
    <xf borderId="5" fillId="0" fontId="40" numFmtId="0" xfId="0" applyAlignment="1" applyBorder="1" applyFont="1">
      <alignment horizontal="left" readingOrder="0" shrinkToFit="0" vertical="bottom" wrapText="0"/>
    </xf>
    <xf borderId="5" fillId="0" fontId="41" numFmtId="0" xfId="0" applyAlignment="1" applyBorder="1" applyFont="1">
      <alignment shrinkToFit="0" vertical="bottom" wrapText="0"/>
    </xf>
    <xf borderId="5" fillId="3" fontId="4" numFmtId="0" xfId="0" applyAlignment="1" applyBorder="1" applyFont="1">
      <alignment readingOrder="0" shrinkToFit="0" vertical="bottom" wrapText="0"/>
    </xf>
    <xf borderId="5" fillId="0" fontId="42" numFmtId="0" xfId="0" applyAlignment="1" applyBorder="1" applyFont="1">
      <alignment horizontal="left" readingOrder="0" shrinkToFit="0" vertical="bottom" wrapText="0"/>
    </xf>
    <xf borderId="0" fillId="0" fontId="43" numFmtId="0" xfId="0" applyAlignment="1" applyFont="1">
      <alignment horizontal="left" shrinkToFit="0" vertical="bottom" wrapText="0"/>
    </xf>
    <xf borderId="0" fillId="0" fontId="43" numFmtId="0" xfId="0" applyAlignment="1" applyFont="1">
      <alignment horizontal="left" shrinkToFit="0" vertical="bottom" wrapText="0"/>
    </xf>
    <xf borderId="4" fillId="0" fontId="44" numFmtId="0" xfId="0" applyAlignment="1" applyBorder="1" applyFont="1">
      <alignment horizontal="left" readingOrder="0" shrinkToFit="0" vertical="bottom" wrapText="0"/>
    </xf>
    <xf borderId="5" fillId="0" fontId="12" numFmtId="0" xfId="0" applyAlignment="1" applyBorder="1" applyFont="1">
      <alignment horizontal="left" readingOrder="0" shrinkToFit="0" vertical="bottom" wrapText="0"/>
    </xf>
    <xf borderId="5" fillId="0" fontId="12" numFmtId="10" xfId="0" applyAlignment="1" applyBorder="1" applyFont="1" applyNumberFormat="1">
      <alignment horizontal="left" readingOrder="0" shrinkToFit="0" vertical="bottom" wrapText="0"/>
    </xf>
    <xf borderId="5" fillId="0" fontId="16" numFmtId="0" xfId="0" applyAlignment="1" applyBorder="1" applyFont="1">
      <alignment horizontal="left" readingOrder="0" shrinkToFit="0" wrapText="0"/>
    </xf>
    <xf borderId="5" fillId="0" fontId="45" numFmtId="0" xfId="0" applyAlignment="1" applyBorder="1" applyFont="1">
      <alignment horizontal="left" readingOrder="0" shrinkToFit="0" vertical="bottom" wrapText="0"/>
    </xf>
    <xf borderId="0" fillId="0" fontId="46" numFmtId="0" xfId="0" applyAlignment="1" applyFont="1">
      <alignment horizontal="left" shrinkToFit="0" vertical="bottom" wrapText="0"/>
    </xf>
    <xf borderId="0" fillId="0" fontId="46" numFmtId="0" xfId="0" applyAlignment="1" applyFont="1">
      <alignment horizontal="left" shrinkToFit="0" vertical="bottom" wrapText="0"/>
    </xf>
    <xf borderId="4" fillId="0" fontId="47" numFmtId="0" xfId="0" applyAlignment="1" applyBorder="1" applyFont="1">
      <alignment horizontal="left" readingOrder="0" shrinkToFit="0" wrapText="0"/>
    </xf>
    <xf borderId="5" fillId="0" fontId="16" numFmtId="10" xfId="0" applyAlignment="1" applyBorder="1" applyFont="1" applyNumberFormat="1">
      <alignment horizontal="left" readingOrder="0" shrinkToFit="0" wrapText="0"/>
    </xf>
    <xf borderId="5" fillId="0" fontId="48" numFmtId="0" xfId="0" applyAlignment="1" applyBorder="1" applyFont="1">
      <alignment horizontal="left" readingOrder="0" shrinkToFit="0" wrapText="0"/>
    </xf>
    <xf borderId="5" fillId="0" fontId="16" numFmtId="0" xfId="0" applyAlignment="1" applyBorder="1" applyFont="1">
      <alignment horizontal="left" readingOrder="0" shrinkToFit="0" wrapText="0"/>
    </xf>
    <xf borderId="5" fillId="0" fontId="7" numFmtId="0" xfId="0" applyAlignment="1" applyBorder="1" applyFont="1">
      <alignment shrinkToFit="0" vertical="bottom" wrapText="0"/>
    </xf>
    <xf borderId="6" fillId="0" fontId="39" numFmtId="0" xfId="0" applyAlignment="1" applyBorder="1" applyFont="1">
      <alignment horizontal="left" readingOrder="0" shrinkToFit="0" vertical="bottom" wrapText="0"/>
    </xf>
    <xf borderId="5" fillId="3" fontId="49" numFmtId="0" xfId="0" applyAlignment="1" applyBorder="1" applyFont="1">
      <alignment horizontal="left" readingOrder="0" shrinkToFit="0" wrapText="0"/>
    </xf>
    <xf borderId="0" fillId="3" fontId="7" numFmtId="0" xfId="0" applyAlignment="1" applyFont="1">
      <alignment horizontal="left" shrinkToFit="0" wrapText="1"/>
    </xf>
    <xf borderId="0" fillId="3" fontId="9" numFmtId="0" xfId="0" applyAlignment="1" applyFont="1">
      <alignment horizontal="left" shrinkToFit="0" wrapText="1"/>
    </xf>
    <xf borderId="0" fillId="3" fontId="7" numFmtId="0" xfId="0" applyAlignment="1" applyFont="1">
      <alignment shrinkToFit="0" wrapText="1"/>
    </xf>
    <xf borderId="0" fillId="3" fontId="9" numFmtId="0" xfId="0" applyAlignment="1" applyFont="1">
      <alignment shrinkToFit="0" wrapText="1"/>
    </xf>
    <xf borderId="5" fillId="3" fontId="50" numFmtId="0" xfId="0" applyAlignment="1" applyBorder="1" applyFont="1">
      <alignment horizontal="left" readingOrder="0" shrinkToFit="0" wrapText="0"/>
    </xf>
    <xf borderId="0" fillId="3" fontId="7" numFmtId="0" xfId="0" applyAlignment="1" applyFont="1">
      <alignment readingOrder="0" shrinkToFit="0" wrapText="1"/>
    </xf>
    <xf borderId="7" fillId="3" fontId="1" numFmtId="0" xfId="0" applyAlignment="1" applyBorder="1" applyFont="1">
      <alignment horizontal="left" readingOrder="0" shrinkToFit="0" wrapText="0"/>
    </xf>
    <xf borderId="8" fillId="3" fontId="4" numFmtId="0" xfId="0" applyAlignment="1" applyBorder="1" applyFont="1">
      <alignment horizontal="left" readingOrder="0" shrinkToFit="0" wrapText="0"/>
    </xf>
    <xf borderId="8" fillId="3" fontId="4" numFmtId="0" xfId="0" applyAlignment="1" applyBorder="1" applyFont="1">
      <alignment horizontal="left" readingOrder="0" shrinkToFit="0" wrapText="0"/>
    </xf>
    <xf borderId="8" fillId="3" fontId="4" numFmtId="0" xfId="0" applyAlignment="1" applyBorder="1" applyFont="1">
      <alignment shrinkToFit="0" vertical="bottom" wrapText="0"/>
    </xf>
    <xf borderId="8" fillId="3" fontId="51" numFmtId="0" xfId="0" applyAlignment="1" applyBorder="1" applyFont="1">
      <alignment horizontal="left" readingOrder="0" shrinkToFit="0" wrapText="0"/>
    </xf>
    <xf borderId="8" fillId="0" fontId="4" numFmtId="0" xfId="0" applyAlignment="1" applyBorder="1" applyFont="1">
      <alignment horizontal="left" readingOrder="0" shrinkToFit="0" wrapText="0"/>
    </xf>
    <xf borderId="8" fillId="0" fontId="4" numFmtId="0" xfId="0" applyAlignment="1" applyBorder="1" applyFont="1">
      <alignment horizontal="left" shrinkToFit="0" wrapText="0"/>
    </xf>
    <xf borderId="9" fillId="3" fontId="4" numFmtId="0" xfId="0" applyAlignment="1" applyBorder="1" applyFont="1">
      <alignment horizontal="left" readingOrder="0" shrinkToFit="0" wrapText="0"/>
    </xf>
    <xf borderId="10" fillId="0" fontId="1" numFmtId="0" xfId="0" applyAlignment="1" applyBorder="1" applyFont="1">
      <alignment shrinkToFit="0" vertical="bottom" wrapText="0"/>
    </xf>
    <xf borderId="10" fillId="0" fontId="4" numFmtId="0" xfId="0" applyAlignment="1" applyBorder="1" applyFont="1">
      <alignment shrinkToFit="0" vertical="bottom" wrapText="0"/>
    </xf>
    <xf borderId="10" fillId="0" fontId="4" numFmtId="0" xfId="0" applyAlignment="1" applyBorder="1" applyFont="1">
      <alignment horizontal="right" shrinkToFit="0" vertical="bottom" wrapText="0"/>
    </xf>
    <xf borderId="10" fillId="0" fontId="4" numFmtId="0" xfId="0" applyAlignment="1" applyBorder="1" applyFont="1">
      <alignment readingOrder="0" shrinkToFit="0" vertical="bottom" wrapText="0"/>
    </xf>
    <xf borderId="10" fillId="0" fontId="52" numFmtId="0" xfId="0" applyAlignment="1" applyBorder="1" applyFont="1">
      <alignment shrinkToFit="0" vertical="bottom" wrapText="0"/>
    </xf>
    <xf borderId="10" fillId="0" fontId="4" numFmtId="0" xfId="0" applyAlignment="1" applyBorder="1" applyFont="1">
      <alignment shrinkToFit="0" vertical="bottom" wrapText="0"/>
    </xf>
    <xf borderId="11" fillId="0" fontId="4" numFmtId="0" xfId="0" applyAlignment="1" applyBorder="1" applyFont="1">
      <alignment shrinkToFit="0" wrapText="0"/>
    </xf>
    <xf borderId="0" fillId="0" fontId="4" numFmtId="0" xfId="0" applyAlignment="1" applyFont="1">
      <alignment shrinkToFit="0" wrapText="0"/>
    </xf>
    <xf borderId="5" fillId="0" fontId="1" numFmtId="0" xfId="0" applyAlignment="1" applyBorder="1" applyFont="1">
      <alignment shrinkToFit="0" vertical="bottom" wrapText="0"/>
    </xf>
    <xf borderId="5" fillId="0" fontId="4" numFmtId="0" xfId="0" applyAlignment="1" applyBorder="1" applyFont="1">
      <alignment horizontal="right" shrinkToFit="0" vertical="bottom" wrapText="0"/>
    </xf>
    <xf borderId="5" fillId="0" fontId="1" numFmtId="0" xfId="0" applyAlignment="1" applyBorder="1" applyFont="1">
      <alignment shrinkToFit="0" vertical="bottom" wrapText="0"/>
    </xf>
    <xf borderId="5" fillId="6" fontId="53" numFmtId="0" xfId="0" applyAlignment="1" applyBorder="1" applyFill="1" applyFont="1">
      <alignment shrinkToFit="0" vertical="bottom" wrapText="0"/>
    </xf>
    <xf borderId="5" fillId="3" fontId="53" numFmtId="0" xfId="0" applyAlignment="1" applyBorder="1" applyFont="1">
      <alignment shrinkToFit="0" vertical="bottom" wrapText="0"/>
    </xf>
    <xf borderId="5" fillId="0" fontId="4" numFmtId="0" xfId="0" applyAlignment="1" applyBorder="1" applyFont="1">
      <alignment readingOrder="0" shrinkToFit="0" vertical="bottom" wrapText="0"/>
    </xf>
    <xf borderId="5" fillId="0" fontId="4" numFmtId="10" xfId="0" applyAlignment="1" applyBorder="1" applyFont="1" applyNumberFormat="1">
      <alignment readingOrder="0" shrinkToFit="0" vertical="bottom" wrapText="0"/>
    </xf>
    <xf borderId="5" fillId="0" fontId="1" numFmtId="0" xfId="0" applyAlignment="1" applyBorder="1" applyFont="1">
      <alignment readingOrder="0" shrinkToFit="0" vertical="bottom" wrapText="0"/>
    </xf>
    <xf borderId="5" fillId="3" fontId="12" numFmtId="0" xfId="0" applyAlignment="1" applyBorder="1" applyFont="1">
      <alignment readingOrder="0" shrinkToFit="0" wrapText="0"/>
    </xf>
    <xf borderId="5" fillId="0" fontId="54" numFmtId="0" xfId="0" applyAlignment="1" applyBorder="1" applyFont="1">
      <alignment readingOrder="0" shrinkToFit="0" wrapText="0"/>
    </xf>
    <xf borderId="5" fillId="0" fontId="25" numFmtId="0" xfId="0" applyAlignment="1" applyBorder="1" applyFont="1">
      <alignment readingOrder="0" shrinkToFit="0" wrapText="0"/>
    </xf>
    <xf borderId="5" fillId="0" fontId="24" numFmtId="0" xfId="0" applyAlignment="1" applyBorder="1" applyFont="1">
      <alignment readingOrder="0" shrinkToFit="0" wrapText="0"/>
    </xf>
    <xf borderId="5" fillId="0" fontId="55" numFmtId="0" xfId="0" applyAlignment="1" applyBorder="1" applyFont="1">
      <alignment readingOrder="0" shrinkToFit="0" wrapText="0"/>
    </xf>
    <xf borderId="0" fillId="0" fontId="29" numFmtId="0" xfId="0" applyAlignment="1" applyFont="1">
      <alignment shrinkToFit="0" wrapText="1"/>
    </xf>
    <xf borderId="5" fillId="0" fontId="25" numFmtId="0" xfId="0" applyAlignment="1" applyBorder="1" applyFont="1">
      <alignment shrinkToFit="0" vertical="bottom" wrapText="0"/>
    </xf>
    <xf borderId="5" fillId="0" fontId="24" numFmtId="0" xfId="0" applyAlignment="1" applyBorder="1" applyFont="1">
      <alignment shrinkToFit="0" vertical="bottom" wrapText="0"/>
    </xf>
    <xf borderId="5" fillId="0" fontId="24" numFmtId="0" xfId="0" applyAlignment="1" applyBorder="1" applyFont="1">
      <alignment horizontal="right" shrinkToFit="0" vertical="bottom" wrapText="0"/>
    </xf>
    <xf borderId="5" fillId="0" fontId="56" numFmtId="0" xfId="0" applyAlignment="1" applyBorder="1" applyFont="1">
      <alignment shrinkToFit="0" vertical="bottom" wrapText="0"/>
    </xf>
    <xf borderId="11" fillId="0" fontId="4" numFmtId="0" xfId="0" applyAlignment="1" applyBorder="1" applyFont="1">
      <alignment shrinkToFit="0" vertical="bottom" wrapText="0"/>
    </xf>
    <xf borderId="0" fillId="0" fontId="4" numFmtId="0" xfId="0" applyAlignment="1" applyFont="1">
      <alignment shrinkToFit="0" vertical="bottom" wrapText="0"/>
    </xf>
    <xf borderId="5" fillId="3" fontId="1" numFmtId="0" xfId="0" applyAlignment="1" applyBorder="1" applyFont="1">
      <alignment readingOrder="0" shrinkToFit="0" wrapText="0"/>
    </xf>
    <xf borderId="5" fillId="3" fontId="57" numFmtId="0" xfId="0" applyAlignment="1" applyBorder="1" applyFont="1">
      <alignment readingOrder="0" shrinkToFit="0" vertical="bottom" wrapText="0"/>
    </xf>
    <xf borderId="5" fillId="3" fontId="4" numFmtId="0" xfId="0" applyAlignment="1" applyBorder="1" applyFont="1">
      <alignment horizontal="right" readingOrder="0" shrinkToFit="0" vertical="bottom" wrapText="0"/>
    </xf>
    <xf borderId="5" fillId="3" fontId="58" numFmtId="0" xfId="0" applyAlignment="1" applyBorder="1" applyFont="1">
      <alignment readingOrder="0" shrinkToFit="0" vertical="bottom" wrapText="0"/>
    </xf>
    <xf borderId="5" fillId="3" fontId="4" numFmtId="0" xfId="0" applyAlignment="1" applyBorder="1" applyFont="1">
      <alignment readingOrder="0" shrinkToFit="0" wrapText="0"/>
    </xf>
    <xf borderId="11" fillId="3" fontId="4" numFmtId="0" xfId="0" applyAlignment="1" applyBorder="1" applyFont="1">
      <alignment readingOrder="0" shrinkToFit="0" wrapText="0"/>
    </xf>
    <xf borderId="0" fillId="3" fontId="4" numFmtId="0" xfId="0" applyAlignment="1" applyFont="1">
      <alignment readingOrder="0" shrinkToFit="0" wrapText="0"/>
    </xf>
    <xf borderId="0" fillId="3" fontId="7" numFmtId="0" xfId="0" applyAlignment="1" applyFont="1">
      <alignment shrinkToFit="0" wrapText="0"/>
    </xf>
    <xf borderId="0" fillId="3" fontId="9" numFmtId="0" xfId="0" applyAlignment="1" applyFont="1">
      <alignment shrinkToFit="0" wrapText="0"/>
    </xf>
    <xf borderId="5" fillId="3" fontId="59" numFmtId="0" xfId="0" applyAlignment="1" applyBorder="1" applyFont="1">
      <alignment readingOrder="0" shrinkToFit="0" wrapText="0"/>
    </xf>
    <xf borderId="5" fillId="0" fontId="60" numFmtId="0" xfId="0" applyAlignment="1" applyBorder="1" applyFont="1">
      <alignment readingOrder="0" shrinkToFit="0" vertical="bottom" wrapText="0"/>
    </xf>
    <xf borderId="5" fillId="0" fontId="61" numFmtId="0" xfId="0" applyAlignment="1" applyBorder="1" applyFont="1">
      <alignment shrinkToFit="0" vertical="bottom" wrapText="0"/>
    </xf>
    <xf borderId="5" fillId="0" fontId="1" numFmtId="0" xfId="0" applyAlignment="1" applyBorder="1" applyFont="1">
      <alignment readingOrder="0" shrinkToFit="0" wrapText="0"/>
    </xf>
    <xf borderId="5" fillId="0" fontId="5" numFmtId="0" xfId="0" applyAlignment="1" applyBorder="1" applyFont="1">
      <alignment readingOrder="0" shrinkToFit="0" wrapText="0"/>
    </xf>
    <xf borderId="5" fillId="0" fontId="62" numFmtId="0" xfId="0" applyAlignment="1" applyBorder="1" applyFont="1">
      <alignment readingOrder="0" shrinkToFit="0" wrapText="0"/>
    </xf>
    <xf borderId="5" fillId="0" fontId="4" numFmtId="0" xfId="0" applyAlignment="1" applyBorder="1" applyFont="1">
      <alignment shrinkToFit="0" wrapText="0"/>
    </xf>
    <xf borderId="5" fillId="3" fontId="63" numFmtId="0" xfId="0" applyAlignment="1" applyBorder="1" applyFont="1">
      <alignment readingOrder="0" shrinkToFit="0" vertical="bottom" wrapText="0"/>
    </xf>
    <xf borderId="5" fillId="0" fontId="7" numFmtId="0" xfId="0" applyAlignment="1" applyBorder="1" applyFont="1">
      <alignment readingOrder="0" shrinkToFit="0" wrapText="0"/>
    </xf>
    <xf borderId="5" fillId="3" fontId="64" numFmtId="0" xfId="0" applyAlignment="1" applyBorder="1" applyFont="1">
      <alignment readingOrder="0" shrinkToFit="0" vertical="bottom" wrapText="0"/>
    </xf>
    <xf borderId="5" fillId="0" fontId="9" numFmtId="0" xfId="0" applyAlignment="1" applyBorder="1" applyFont="1">
      <alignment readingOrder="0" shrinkToFit="0" wrapText="0"/>
    </xf>
    <xf borderId="5" fillId="0" fontId="65" numFmtId="0" xfId="0" applyAlignment="1" applyBorder="1" applyFont="1">
      <alignment readingOrder="0" shrinkToFit="0" wrapText="0"/>
    </xf>
    <xf borderId="5" fillId="3" fontId="7" numFmtId="0" xfId="0" applyAlignment="1" applyBorder="1" applyFont="1">
      <alignment readingOrder="0" shrinkToFit="0" vertical="bottom" wrapText="0"/>
    </xf>
    <xf borderId="5" fillId="0" fontId="66" numFmtId="0" xfId="0" applyAlignment="1" applyBorder="1" applyFont="1">
      <alignment readingOrder="0" shrinkToFit="0" wrapText="0"/>
    </xf>
    <xf borderId="0" fillId="0" fontId="63" numFmtId="0" xfId="0" applyAlignment="1" applyFont="1">
      <alignment shrinkToFit="0" wrapText="1"/>
    </xf>
    <xf borderId="0" fillId="0" fontId="67" numFmtId="0" xfId="0" applyFont="1"/>
    <xf borderId="0" fillId="0" fontId="6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dpi.com/2079-9292/13/23/4768" TargetMode="External"/><Relationship Id="rId190" Type="http://schemas.openxmlformats.org/officeDocument/2006/relationships/hyperlink" Target="https://www.researchgate.net/publication/355844290_Communication_and_Network_Technologies_of_IoT_in_Smart_Building_A_Survey" TargetMode="External"/><Relationship Id="rId42" Type="http://schemas.openxmlformats.org/officeDocument/2006/relationships/hyperlink" Target="https://github.com/PUTvision/thermo-hardware-benchmark" TargetMode="External"/><Relationship Id="rId41" Type="http://schemas.openxmlformats.org/officeDocument/2006/relationships/hyperlink" Target="https://www.researchgate.net/publication/400087659_Joint_Contactless_Temperature_Humidity_and_Occupancy_Sensing_via_Wi-Fi_Channel_State_Information_on_ESP32_Nodes_Joint_Contactless_Temperature_Humidity_and_Occupancy_Sensing_via_Wi-Fi_Channel_State_Inf" TargetMode="External"/><Relationship Id="rId44" Type="http://schemas.openxmlformats.org/officeDocument/2006/relationships/hyperlink" Target="https://ieeexplore.ieee.org/stamp/stamp.jsp?tp=&amp;arnumber=11282020" TargetMode="External"/><Relationship Id="rId194" Type="http://schemas.openxmlformats.org/officeDocument/2006/relationships/hyperlink" Target="https://ieeexplore.ieee.org/abstract/document/11307621" TargetMode="External"/><Relationship Id="rId43" Type="http://schemas.openxmlformats.org/officeDocument/2006/relationships/hyperlink" Target="https://ieeexplore.ieee.org/abstract/document/9964383" TargetMode="External"/><Relationship Id="rId193" Type="http://schemas.openxmlformats.org/officeDocument/2006/relationships/hyperlink" Target="https://ieeexplore.ieee.org/abstract/document/11307621" TargetMode="External"/><Relationship Id="rId46" Type="http://schemas.openxmlformats.org/officeDocument/2006/relationships/hyperlink" Target="https://www.researchsquare.com/article/rs-8379288/v1" TargetMode="External"/><Relationship Id="rId192" Type="http://schemas.openxmlformats.org/officeDocument/2006/relationships/hyperlink" Target="https://ieeexplore.ieee.org/abstract/document/11399311" TargetMode="External"/><Relationship Id="rId45" Type="http://schemas.openxmlformats.org/officeDocument/2006/relationships/hyperlink" Target="https://doi.org/10.21203/rs.3.rs-8379288/v1" TargetMode="External"/><Relationship Id="rId191" Type="http://schemas.openxmlformats.org/officeDocument/2006/relationships/hyperlink" Target="https://ieeexplore.ieee.org/abstract/document/11399311" TargetMode="External"/><Relationship Id="rId48" Type="http://schemas.openxmlformats.org/officeDocument/2006/relationships/hyperlink" Target="https://github.com/ARM-software/ML-zoo" TargetMode="External"/><Relationship Id="rId187" Type="http://schemas.openxmlformats.org/officeDocument/2006/relationships/hyperlink" Target="https://www.researchgate.net/publication/399939271_Design_and_Implementation_of_a_Low-Cost_Device_to_Monitor_the_Real-Time_Presence_of_CO_and_CO2_in_Ambient_Air_and_Prediction_of_its_Pollution_Level_using_TinyML" TargetMode="External"/><Relationship Id="rId47" Type="http://schemas.openxmlformats.org/officeDocument/2006/relationships/hyperlink" Target="https://arxiv.org/abs/2603.27393" TargetMode="External"/><Relationship Id="rId186" Type="http://schemas.openxmlformats.org/officeDocument/2006/relationships/hyperlink" Target="https://ieeexplore.ieee.org/abstract/document/9530806" TargetMode="External"/><Relationship Id="rId185" Type="http://schemas.openxmlformats.org/officeDocument/2006/relationships/hyperlink" Target="https://ieeexplore.ieee.org/abstract/document/9530806" TargetMode="External"/><Relationship Id="rId49" Type="http://schemas.openxmlformats.org/officeDocument/2006/relationships/hyperlink" Target="https://arxiv.org/abs/2010.11267" TargetMode="External"/><Relationship Id="rId184" Type="http://schemas.openxmlformats.org/officeDocument/2006/relationships/hyperlink" Target="https://link.springer.com/article/10.1007/s11554-024-01605-7" TargetMode="External"/><Relationship Id="rId189" Type="http://schemas.openxmlformats.org/officeDocument/2006/relationships/hyperlink" Target="https://www.researchgate.net/publication/355844290_Communication_and_Network_Technologies_of_IoT_in_Smart_Building_A_Survey" TargetMode="External"/><Relationship Id="rId188" Type="http://schemas.openxmlformats.org/officeDocument/2006/relationships/hyperlink" Target="https://www.researchgate.net/publication/399939271_Design_and_Implementation_of_a_Low-Cost_Device_to_Monitor_the_Real-Time_Presence_of_CO_and_CO2_in_Ambient_Air_and_Prediction_of_its_Pollution_Level_using_TinyML" TargetMode="External"/><Relationship Id="rId31" Type="http://schemas.openxmlformats.org/officeDocument/2006/relationships/hyperlink" Target="https://www.researchgate.net/publication/394618606_Low-Cost_Wi-Fi_Sensing_Challenges_Advances_and_a_Framework_for_Edge_Deployment" TargetMode="External"/><Relationship Id="rId30" Type="http://schemas.openxmlformats.org/officeDocument/2006/relationships/hyperlink" Target="https://doi.org/10.55248/gengpi.6.0725.2708" TargetMode="External"/><Relationship Id="rId33" Type="http://schemas.openxmlformats.org/officeDocument/2006/relationships/hyperlink" Target="https://dl-acm-org.aus.idm.oclc.org/doi/pdf/10.1145/3582433" TargetMode="External"/><Relationship Id="rId183" Type="http://schemas.openxmlformats.org/officeDocument/2006/relationships/hyperlink" Target="https://link.springer.com/article/10.1007/s11554-024-01605-7" TargetMode="External"/><Relationship Id="rId32" Type="http://schemas.openxmlformats.org/officeDocument/2006/relationships/hyperlink" Target="https://dl.acm.org/doi/10.1145/3582433" TargetMode="External"/><Relationship Id="rId182" Type="http://schemas.openxmlformats.org/officeDocument/2006/relationships/hyperlink" Target="https://www.mdpi.com/2413-4155/8/1/10" TargetMode="External"/><Relationship Id="rId35" Type="http://schemas.openxmlformats.org/officeDocument/2006/relationships/hyperlink" Target="https://www.mdpi.com/1424-8220/23/22/9210" TargetMode="External"/><Relationship Id="rId181" Type="http://schemas.openxmlformats.org/officeDocument/2006/relationships/hyperlink" Target="https://pmc.ncbi.nlm.nih.gov/articles/PMC12644835/" TargetMode="External"/><Relationship Id="rId34" Type="http://schemas.openxmlformats.org/officeDocument/2006/relationships/hyperlink" Target="https://doi.org/10.3390/s23229210" TargetMode="External"/><Relationship Id="rId180" Type="http://schemas.openxmlformats.org/officeDocument/2006/relationships/hyperlink" Target="https://www.sciencedirect.com/science/article/pii/S2542660521001025" TargetMode="External"/><Relationship Id="rId37" Type="http://schemas.openxmlformats.org/officeDocument/2006/relationships/hyperlink" Target="https://www.sciencedirect.com/science/article/abs/pii/S0957417422020346" TargetMode="External"/><Relationship Id="rId176" Type="http://schemas.openxmlformats.org/officeDocument/2006/relationships/hyperlink" Target="https://arxiv.org/abs/2106.10652" TargetMode="External"/><Relationship Id="rId36" Type="http://schemas.openxmlformats.org/officeDocument/2006/relationships/hyperlink" Target="https://ieeexplore-ieee-org.aus.idm.oclc.org/document/10251587" TargetMode="External"/><Relationship Id="rId175" Type="http://schemas.openxmlformats.org/officeDocument/2006/relationships/hyperlink" Target="https://arxiv.org/abs/2211.04448" TargetMode="External"/><Relationship Id="rId39" Type="http://schemas.openxmlformats.org/officeDocument/2006/relationships/hyperlink" Target="https://arxiv.org/abs/2508.16553" TargetMode="External"/><Relationship Id="rId174" Type="http://schemas.openxmlformats.org/officeDocument/2006/relationships/hyperlink" Target="https://doi.org/10.48550/arXiv.2211.04448" TargetMode="External"/><Relationship Id="rId38" Type="http://schemas.openxmlformats.org/officeDocument/2006/relationships/hyperlink" Target="https://ieeexplore.ieee.org/document/11118459" TargetMode="External"/><Relationship Id="rId173" Type="http://schemas.openxmlformats.org/officeDocument/2006/relationships/hyperlink" Target="https://www.researchgate.net/publication/372236494_A_Comprehensive_Survey_on_TinyML" TargetMode="External"/><Relationship Id="rId179" Type="http://schemas.openxmlformats.org/officeDocument/2006/relationships/hyperlink" Target="https://www.researchgate.net/publication/392623064_Efficient_TinyML_Architectures_for_Anomaly_Detection_in_Industrial_IoT_Sensors" TargetMode="External"/><Relationship Id="rId178" Type="http://schemas.openxmlformats.org/officeDocument/2006/relationships/hyperlink" Target="https://ieeexplore.ieee.org/document/10168657" TargetMode="External"/><Relationship Id="rId177" Type="http://schemas.openxmlformats.org/officeDocument/2006/relationships/hyperlink" Target="https://www.sciencedirect.com/science/article/pii/S2542660524003391" TargetMode="External"/><Relationship Id="rId20" Type="http://schemas.openxmlformats.org/officeDocument/2006/relationships/hyperlink" Target="https://ieeexplore-ieee-org.aus.idm.oclc.org/stamp/stamp.jsp?tp=&amp;arnumber=11007628" TargetMode="External"/><Relationship Id="rId22" Type="http://schemas.openxmlformats.org/officeDocument/2006/relationships/hyperlink" Target="https://ieeexplore.ieee.org/abstract/document/11228997?casa_token=d8dkyKdaNDAAAAAA:OMW0bg7kNp6ORHaVSpJI7NA_sqTdEqZn3fmLwXrLrtOrqPUQWRKto0vwCv3QaAwDmd9Ce66qdA" TargetMode="External"/><Relationship Id="rId21" Type="http://schemas.openxmlformats.org/officeDocument/2006/relationships/hyperlink" Target="https://ieeexplore-ieee-org.aus.idm.oclc.org/stamp/stamp.jsp?tp=&amp;arnumber=11261518" TargetMode="External"/><Relationship Id="rId24" Type="http://schemas.openxmlformats.org/officeDocument/2006/relationships/hyperlink" Target="https://ieeexplore.ieee.org/abstract/document/9721895" TargetMode="External"/><Relationship Id="rId23" Type="http://schemas.openxmlformats.org/officeDocument/2006/relationships/hyperlink" Target="https://arxiv.org/abs/2003.04821" TargetMode="External"/><Relationship Id="rId26" Type="http://schemas.openxmlformats.org/officeDocument/2006/relationships/hyperlink" Target="https://ieeexplore.ieee.org/abstract/document/9595024?casa_token=l1aVnDP7c_EAAAAA:SK8LTsrc-clL1yCZtskr8tbUXB9ubNozuUmAJ8tzmsMHslqC96GpKbOqAXmbMJQdB-ZlwwcB0A" TargetMode="External"/><Relationship Id="rId25" Type="http://schemas.openxmlformats.org/officeDocument/2006/relationships/hyperlink" Target="https://ieeexplore.ieee.org/abstract/document/9617799?casa_token=XON4L9gADgAAAAAA:48-iJGiA8M6_Z9xWALaI7hkNorX68NnX8ZHcGgmuaXO1x1C7UAk40wLqc02Wg3fOp1iTvfMT0g" TargetMode="External"/><Relationship Id="rId28" Type="http://schemas.openxmlformats.org/officeDocument/2006/relationships/hyperlink" Target="https://doi.org/10.1016/j.rineng.2026.109107" TargetMode="External"/><Relationship Id="rId27" Type="http://schemas.openxmlformats.org/officeDocument/2006/relationships/hyperlink" Target="https://ieeexplore.ieee.org/abstract/document/11373387" TargetMode="External"/><Relationship Id="rId29" Type="http://schemas.openxmlformats.org/officeDocument/2006/relationships/hyperlink" Target="https://www.sciencedirect.com/science/article/pii/S2590123026001507" TargetMode="External"/><Relationship Id="rId11" Type="http://schemas.openxmlformats.org/officeDocument/2006/relationships/hyperlink" Target="https://www.mdpi.com/1424-8220/24/13/4124" TargetMode="External"/><Relationship Id="rId10" Type="http://schemas.openxmlformats.org/officeDocument/2006/relationships/hyperlink" Target="https://www.sciencedirect.com/science/article/pii/S2542660523001713" TargetMode="External"/><Relationship Id="rId13" Type="http://schemas.openxmlformats.org/officeDocument/2006/relationships/hyperlink" Target="https://ieeexplore.ieee.org/document/10409357" TargetMode="External"/><Relationship Id="rId12" Type="http://schemas.openxmlformats.org/officeDocument/2006/relationships/hyperlink" Target="https://ieeexplore.ieee.org/document/10885641" TargetMode="External"/><Relationship Id="rId15" Type="http://schemas.openxmlformats.org/officeDocument/2006/relationships/hyperlink" Target="https://dl-acm-org.aus.idm.oclc.org/doi/pdf/10.1145/3639856.3639859" TargetMode="External"/><Relationship Id="rId198" Type="http://schemas.openxmlformats.org/officeDocument/2006/relationships/hyperlink" Target="https://ieeexplore.ieee.org/abstract/document/10993435" TargetMode="External"/><Relationship Id="rId14" Type="http://schemas.openxmlformats.org/officeDocument/2006/relationships/hyperlink" Target="https://ieeexplore.ieee.org/document/11205590" TargetMode="External"/><Relationship Id="rId197" Type="http://schemas.openxmlformats.org/officeDocument/2006/relationships/hyperlink" Target="https://ieeexplore.ieee.org/abstract/document/10993435" TargetMode="External"/><Relationship Id="rId17" Type="http://schemas.openxmlformats.org/officeDocument/2006/relationships/hyperlink" Target="https://ieeexplore-ieee-org.aus.idm.oclc.org/stamp/stamp.jsp?tp=&amp;arnumber=10178063" TargetMode="External"/><Relationship Id="rId196" Type="http://schemas.openxmlformats.org/officeDocument/2006/relationships/hyperlink" Target="https://www.sciencedirect.com/science/article/pii/S2542660524003378" TargetMode="External"/><Relationship Id="rId16" Type="http://schemas.openxmlformats.org/officeDocument/2006/relationships/hyperlink" Target="https://ieeexplore-ieee-org.aus.idm.oclc.org/stamp/stamp.jsp?tp=&amp;arnumber=9075280" TargetMode="External"/><Relationship Id="rId195" Type="http://schemas.openxmlformats.org/officeDocument/2006/relationships/hyperlink" Target="https://www.sciencedirect.com/science/article/pii/S2542660524003378" TargetMode="External"/><Relationship Id="rId19" Type="http://schemas.openxmlformats.org/officeDocument/2006/relationships/hyperlink" Target="https://ieeexplore-ieee-org.aus.idm.oclc.org/stamp/stamp.jsp?tp=&amp;arnumber=10330937" TargetMode="External"/><Relationship Id="rId18" Type="http://schemas.openxmlformats.org/officeDocument/2006/relationships/hyperlink" Target="https://ieeexplore-ieee-org.aus.idm.oclc.org/stamp/stamp.jsp?tp=&amp;arnumber=11275822" TargetMode="External"/><Relationship Id="rId199" Type="http://schemas.openxmlformats.org/officeDocument/2006/relationships/hyperlink" Target="https://ieeexplore.ieee.org/abstract/document/11410447" TargetMode="External"/><Relationship Id="rId84" Type="http://schemas.openxmlformats.org/officeDocument/2006/relationships/hyperlink" Target="https://github.com/zsgdszt/haotianzhou" TargetMode="External"/><Relationship Id="rId83" Type="http://schemas.openxmlformats.org/officeDocument/2006/relationships/hyperlink" Target="https://doi.org/10.1038/s41598-025-98571-2" TargetMode="External"/><Relationship Id="rId86" Type="http://schemas.openxmlformats.org/officeDocument/2006/relationships/hyperlink" Target="https://www.researchgate.net/publication/397634098_Quantifying_Energy-Accuracy-Latency_Trade-offs_in_Cloud-Offloaded_and_On-Device_TinyML_Inference_on_IoT_Devices" TargetMode="External"/><Relationship Id="rId85" Type="http://schemas.openxmlformats.org/officeDocument/2006/relationships/hyperlink" Target="https://www.nature.com/articles/s41598-025-98571-2.pdf" TargetMode="External"/><Relationship Id="rId88" Type="http://schemas.openxmlformats.org/officeDocument/2006/relationships/hyperlink" Target="https://www.researchgate.net/publication/378756406_TinyML_Empowered_Transfer_Learning_on_the_Edge" TargetMode="External"/><Relationship Id="rId150" Type="http://schemas.openxmlformats.org/officeDocument/2006/relationships/hyperlink" Target="https://ieeexplore.ieee.org/document/9746093" TargetMode="External"/><Relationship Id="rId87" Type="http://schemas.openxmlformats.org/officeDocument/2006/relationships/hyperlink" Target="https://doi.org/10.1109/OJCOMS.2024.3373177" TargetMode="External"/><Relationship Id="rId89" Type="http://schemas.openxmlformats.org/officeDocument/2006/relationships/hyperlink" Target="https://doi-org.aus.idm.oclc.org/10.1109/RTSI61910.2024.10761203" TargetMode="External"/><Relationship Id="rId80" Type="http://schemas.openxmlformats.org/officeDocument/2006/relationships/hyperlink" Target="https://ieeexplore.ieee.org/document/11340545" TargetMode="External"/><Relationship Id="rId82" Type="http://schemas.openxmlformats.org/officeDocument/2006/relationships/hyperlink" Target="https://pdfs.semanticscholar.org/3420/fe50ef93411002060e413f86d5a6761bd521.pdf" TargetMode="External"/><Relationship Id="rId81" Type="http://schemas.openxmlformats.org/officeDocument/2006/relationships/hyperlink" Target="https://doi.org/10.5281/zenodo.5507397" TargetMode="External"/><Relationship Id="rId1" Type="http://schemas.openxmlformats.org/officeDocument/2006/relationships/comments" Target="../comments1.xml"/><Relationship Id="rId2" Type="http://schemas.openxmlformats.org/officeDocument/2006/relationships/hyperlink" Target="https://link.springer.com/article/10.1007/s43926-025-00142-4" TargetMode="External"/><Relationship Id="rId3" Type="http://schemas.openxmlformats.org/officeDocument/2006/relationships/hyperlink" Target="https://www.mdpi.com/1424-8220/23/4/2344" TargetMode="External"/><Relationship Id="rId149" Type="http://schemas.openxmlformats.org/officeDocument/2006/relationships/hyperlink" Target="https://ieeexplore.ieee.org/document/9831517" TargetMode="External"/><Relationship Id="rId4" Type="http://schemas.openxmlformats.org/officeDocument/2006/relationships/hyperlink" Target="https://ieeexplore.ieee.org/document/10636584" TargetMode="External"/><Relationship Id="rId148" Type="http://schemas.openxmlformats.org/officeDocument/2006/relationships/hyperlink" Target="https://www.researchgate.net/publication/395334243_Embedded_TinyML_for_Predictive_Maintenance_Vibration_Analysis_on_ESP32_with_Real-Time_Fault_Detection_in_Industrial_Equipment" TargetMode="External"/><Relationship Id="rId9" Type="http://schemas.openxmlformats.org/officeDocument/2006/relationships/hyperlink" Target="https://ieeexplore.ieee.org/document/10577837" TargetMode="External"/><Relationship Id="rId143" Type="http://schemas.openxmlformats.org/officeDocument/2006/relationships/hyperlink" Target="https://arxiv.org/abs/2502.01700" TargetMode="External"/><Relationship Id="rId142" Type="http://schemas.openxmlformats.org/officeDocument/2006/relationships/hyperlink" Target="https://github.com/Black3rror/EdgeMark" TargetMode="External"/><Relationship Id="rId141" Type="http://schemas.openxmlformats.org/officeDocument/2006/relationships/hyperlink" Target="https://arxiv.org/abs/2502.01700" TargetMode="External"/><Relationship Id="rId140" Type="http://schemas.openxmlformats.org/officeDocument/2006/relationships/hyperlink" Target="https://doi.org/10.1016/j.sysarc.2024.103262" TargetMode="External"/><Relationship Id="rId5" Type="http://schemas.openxmlformats.org/officeDocument/2006/relationships/hyperlink" Target="https://ieeexplore.ieee.org/document/10253705" TargetMode="External"/><Relationship Id="rId147" Type="http://schemas.openxmlformats.org/officeDocument/2006/relationships/hyperlink" Target="https://www.mdpi.com/2079-9292/13/23/4768" TargetMode="External"/><Relationship Id="rId6" Type="http://schemas.openxmlformats.org/officeDocument/2006/relationships/hyperlink" Target="https://ieeexplore.ieee.org/document/9797171" TargetMode="External"/><Relationship Id="rId146" Type="http://schemas.openxmlformats.org/officeDocument/2006/relationships/hyperlink" Target="https://proceedings.mlsys.org/paper_files/paper/2021/hash/6c44dc73014d66ba49b28d483a8f8b0d-Abstract.html" TargetMode="External"/><Relationship Id="rId7" Type="http://schemas.openxmlformats.org/officeDocument/2006/relationships/hyperlink" Target="https://ieeexplore.ieee.org/document/11382566" TargetMode="External"/><Relationship Id="rId145" Type="http://schemas.openxmlformats.org/officeDocument/2006/relationships/hyperlink" Target="https://github.com/tensorflow/tensorflow/tree/master/tensorflow/lite/micro" TargetMode="External"/><Relationship Id="rId8" Type="http://schemas.openxmlformats.org/officeDocument/2006/relationships/hyperlink" Target="https://journals.utm.my/jurnalteknologi/article/view/18744" TargetMode="External"/><Relationship Id="rId144" Type="http://schemas.openxmlformats.org/officeDocument/2006/relationships/hyperlink" Target="https://proceedings.mlsys.org/paper_files/paper/2021/hash/6c44dc73014d66ba49b28d483a8f8b0d-Abstract.html" TargetMode="External"/><Relationship Id="rId73" Type="http://schemas.openxmlformats.org/officeDocument/2006/relationships/hyperlink" Target="https://www.mdpi.com/2072-666X/13/6/851" TargetMode="External"/><Relationship Id="rId72" Type="http://schemas.openxmlformats.org/officeDocument/2006/relationships/hyperlink" Target="https://www.mdpi.com/2072-666X/13/6/851" TargetMode="External"/><Relationship Id="rId75" Type="http://schemas.openxmlformats.org/officeDocument/2006/relationships/hyperlink" Target="https://link.springer.com/chapter/10.1007/978-3-032-13006-8_41" TargetMode="External"/><Relationship Id="rId74" Type="http://schemas.openxmlformats.org/officeDocument/2006/relationships/hyperlink" Target="https://link.springer.com/article/10.1007/s11431-025-3072-9" TargetMode="External"/><Relationship Id="rId77" Type="http://schemas.openxmlformats.org/officeDocument/2006/relationships/hyperlink" Target="https://link.springer.com/article/10.1007/s43621-026-02591-5" TargetMode="External"/><Relationship Id="rId76" Type="http://schemas.openxmlformats.org/officeDocument/2006/relationships/hyperlink" Target="https://ieeexplore.ieee.org/stamp/stamp.jsp?tp=&amp;arnumber=10982063" TargetMode="External"/><Relationship Id="rId79" Type="http://schemas.openxmlformats.org/officeDocument/2006/relationships/hyperlink" Target="https://ieeexplore.ieee.org/document/11218003" TargetMode="External"/><Relationship Id="rId78" Type="http://schemas.openxmlformats.org/officeDocument/2006/relationships/hyperlink" Target="https://ieeexplore.ieee.org/document/10219132/" TargetMode="External"/><Relationship Id="rId71" Type="http://schemas.openxmlformats.org/officeDocument/2006/relationships/hyperlink" Target="https://proceedings.neurips.cc/paper/2020/hash/86c51678350f656dcc7f490a43946ee5-Abstract.html" TargetMode="External"/><Relationship Id="rId70" Type="http://schemas.openxmlformats.org/officeDocument/2006/relationships/hyperlink" Target="https://github.com/mit-han-lab/mcunet" TargetMode="External"/><Relationship Id="rId139" Type="http://schemas.openxmlformats.org/officeDocument/2006/relationships/hyperlink" Target="https://github.com/vladBaciu/MLino-Bench" TargetMode="External"/><Relationship Id="rId138" Type="http://schemas.openxmlformats.org/officeDocument/2006/relationships/hyperlink" Target="https://doi.org/10.1016/j.sysarc.2024.103262" TargetMode="External"/><Relationship Id="rId137" Type="http://schemas.openxmlformats.org/officeDocument/2006/relationships/hyperlink" Target="https://doi.org/10.3390/info15110674" TargetMode="External"/><Relationship Id="rId132" Type="http://schemas.openxmlformats.org/officeDocument/2006/relationships/hyperlink" Target="https://doi.org/10.1145/3615338.3618128" TargetMode="External"/><Relationship Id="rId131" Type="http://schemas.openxmlformats.org/officeDocument/2006/relationships/hyperlink" Target="https://github.com/tum-ei-eda/mlonmcu" TargetMode="External"/><Relationship Id="rId130" Type="http://schemas.openxmlformats.org/officeDocument/2006/relationships/hyperlink" Target="https://doi.org/10.1145/3615338.3618128" TargetMode="External"/><Relationship Id="rId136" Type="http://schemas.openxmlformats.org/officeDocument/2006/relationships/hyperlink" Target="https://github.com/fabrizioaymone/sensor" TargetMode="External"/><Relationship Id="rId135" Type="http://schemas.openxmlformats.org/officeDocument/2006/relationships/hyperlink" Target="https://doi.org/10.3390/info15110674" TargetMode="External"/><Relationship Id="rId134" Type="http://schemas.openxmlformats.org/officeDocument/2006/relationships/hyperlink" Target="https://arxiv.org/abs/2104.10645" TargetMode="External"/><Relationship Id="rId133" Type="http://schemas.openxmlformats.org/officeDocument/2006/relationships/hyperlink" Target="https://arxiv.org/abs/2104.10645" TargetMode="External"/><Relationship Id="rId62" Type="http://schemas.openxmlformats.org/officeDocument/2006/relationships/hyperlink" Target="https://ieeexplore.ieee.org/document/11270693" TargetMode="External"/><Relationship Id="rId61" Type="http://schemas.openxmlformats.org/officeDocument/2006/relationships/hyperlink" Target="https://ieeexplore.ieee.org/document/10241972" TargetMode="External"/><Relationship Id="rId64" Type="http://schemas.openxmlformats.org/officeDocument/2006/relationships/hyperlink" Target="https://arxiv.org/abs/2106.07597" TargetMode="External"/><Relationship Id="rId63" Type="http://schemas.openxmlformats.org/officeDocument/2006/relationships/hyperlink" Target="https://ieeexplore.ieee.org/document/11018087" TargetMode="External"/><Relationship Id="rId66" Type="http://schemas.openxmlformats.org/officeDocument/2006/relationships/hyperlink" Target="https://arxiv.org/abs/2106.07597" TargetMode="External"/><Relationship Id="rId172" Type="http://schemas.openxmlformats.org/officeDocument/2006/relationships/hyperlink" Target="https://ieeexplore.ieee.org/document/9722636" TargetMode="External"/><Relationship Id="rId65" Type="http://schemas.openxmlformats.org/officeDocument/2006/relationships/hyperlink" Target="https://github.com/mlcommons/tiny" TargetMode="External"/><Relationship Id="rId171" Type="http://schemas.openxmlformats.org/officeDocument/2006/relationships/hyperlink" Target="https://arxiv.org/abs/2303.036111" TargetMode="External"/><Relationship Id="rId68" Type="http://schemas.openxmlformats.org/officeDocument/2006/relationships/hyperlink" Target="https://link.springer.com/chapter/10.1007/978-3-030-95498-7_20" TargetMode="External"/><Relationship Id="rId170" Type="http://schemas.openxmlformats.org/officeDocument/2006/relationships/hyperlink" Target="https://arxiv.org/abs/2303.03611v1" TargetMode="External"/><Relationship Id="rId67" Type="http://schemas.openxmlformats.org/officeDocument/2006/relationships/hyperlink" Target="https://doi.org/10.1007/978-3-030-95498-7_20" TargetMode="External"/><Relationship Id="rId60" Type="http://schemas.openxmlformats.org/officeDocument/2006/relationships/hyperlink" Target="https://ieeexplore.ieee.org/document/10631631" TargetMode="External"/><Relationship Id="rId165" Type="http://schemas.openxmlformats.org/officeDocument/2006/relationships/hyperlink" Target="https://ieeexplore.ieee.org/document/9869909" TargetMode="External"/><Relationship Id="rId69" Type="http://schemas.openxmlformats.org/officeDocument/2006/relationships/hyperlink" Target="https://proceedings.neurips.cc/paper/2020/hash/86c51678350f656dcc7f490a43946ee5-Abstract.html" TargetMode="External"/><Relationship Id="rId164" Type="http://schemas.openxmlformats.org/officeDocument/2006/relationships/hyperlink" Target="https://ieeexplore.ieee.org/document/10849192" TargetMode="External"/><Relationship Id="rId163" Type="http://schemas.openxmlformats.org/officeDocument/2006/relationships/hyperlink" Target="https://ieeexplore.ieee.org/document/10773488" TargetMode="External"/><Relationship Id="rId162" Type="http://schemas.openxmlformats.org/officeDocument/2006/relationships/hyperlink" Target="https://ieeexplore.ieee.org/document/11105106" TargetMode="External"/><Relationship Id="rId169" Type="http://schemas.openxmlformats.org/officeDocument/2006/relationships/hyperlink" Target="https://ieeexplore-ieee-org.aus.idm.oclc.org/document/9579991" TargetMode="External"/><Relationship Id="rId168" Type="http://schemas.openxmlformats.org/officeDocument/2006/relationships/hyperlink" Target="https://doi.org/10.1109/ET52713.2021.9579991" TargetMode="External"/><Relationship Id="rId167" Type="http://schemas.openxmlformats.org/officeDocument/2006/relationships/hyperlink" Target="https://ieeexplore.ieee.org/document/11294282" TargetMode="External"/><Relationship Id="rId166" Type="http://schemas.openxmlformats.org/officeDocument/2006/relationships/hyperlink" Target="https://ieeexplore.ieee.org/document/11270573" TargetMode="External"/><Relationship Id="rId51" Type="http://schemas.openxmlformats.org/officeDocument/2006/relationships/hyperlink" Target="https://ieeexplore.ieee.org/stamp/stamp.jsp?arnumber=10816645" TargetMode="External"/><Relationship Id="rId50" Type="http://schemas.openxmlformats.org/officeDocument/2006/relationships/hyperlink" Target="https://ieeexplore.ieee.org/abstract/document/11307279" TargetMode="External"/><Relationship Id="rId53" Type="http://schemas.openxmlformats.org/officeDocument/2006/relationships/hyperlink" Target="https://ieeexplore.ieee.org/stamp/stamp.jsp?tp=&amp;arnumber=9755991" TargetMode="External"/><Relationship Id="rId52" Type="http://schemas.openxmlformats.org/officeDocument/2006/relationships/hyperlink" Target="https://ieeexplore.ieee.org/stamp/stamp.jsp?tp=&amp;arnumber=11352794" TargetMode="External"/><Relationship Id="rId55" Type="http://schemas.openxmlformats.org/officeDocument/2006/relationships/hyperlink" Target="https://ieeexplore.ieee.org/document/10093891" TargetMode="External"/><Relationship Id="rId161" Type="http://schemas.openxmlformats.org/officeDocument/2006/relationships/hyperlink" Target="https://ieeexplore.ieee.org/document/10247011" TargetMode="External"/><Relationship Id="rId54" Type="http://schemas.openxmlformats.org/officeDocument/2006/relationships/hyperlink" Target="https://doi.org/10.1109/TIM.2023.3265119" TargetMode="External"/><Relationship Id="rId160" Type="http://schemas.openxmlformats.org/officeDocument/2006/relationships/hyperlink" Target="https://ieeexplore.ieee.org/document/11339771" TargetMode="External"/><Relationship Id="rId57" Type="http://schemas.openxmlformats.org/officeDocument/2006/relationships/hyperlink" Target="https://arxiv.org/pdf/2509.07051" TargetMode="External"/><Relationship Id="rId56" Type="http://schemas.openxmlformats.org/officeDocument/2006/relationships/hyperlink" Target="https://ieeexplore.ieee.org/document/9707596" TargetMode="External"/><Relationship Id="rId159" Type="http://schemas.openxmlformats.org/officeDocument/2006/relationships/hyperlink" Target="https://ieeexplore.ieee.org/stamp/stamp.jsp?tp=&amp;arnumber=10520459" TargetMode="External"/><Relationship Id="rId59" Type="http://schemas.openxmlformats.org/officeDocument/2006/relationships/hyperlink" Target="https://arxiv.org/pdf/2403.10549" TargetMode="External"/><Relationship Id="rId154" Type="http://schemas.openxmlformats.org/officeDocument/2006/relationships/hyperlink" Target="https://doi.org/10.1109/ACCESS.2026.3658109" TargetMode="External"/><Relationship Id="rId58" Type="http://schemas.openxmlformats.org/officeDocument/2006/relationships/hyperlink" Target="https://ieeexplore.ieee.org/document/11453401" TargetMode="External"/><Relationship Id="rId153" Type="http://schemas.openxmlformats.org/officeDocument/2006/relationships/hyperlink" Target="https://ieeexplore.ieee.org/stamp/stamp.jsp?tp=&amp;arnumber=11207470" TargetMode="External"/><Relationship Id="rId152" Type="http://schemas.openxmlformats.org/officeDocument/2006/relationships/hyperlink" Target="https://doi.org/10.1109/HPCC67675.2025.00152" TargetMode="External"/><Relationship Id="rId151" Type="http://schemas.openxmlformats.org/officeDocument/2006/relationships/hyperlink" Target="https://ieeexplore.ieee.org/document/10546828" TargetMode="External"/><Relationship Id="rId158" Type="http://schemas.openxmlformats.org/officeDocument/2006/relationships/hyperlink" Target="https://dl.acm.org/doi/epdf/10.1145/3582433" TargetMode="External"/><Relationship Id="rId157" Type="http://schemas.openxmlformats.org/officeDocument/2006/relationships/hyperlink" Target="https://www.researchgate.net/publication/400049498_Environmental_Hazards_Prediction_Using_Real-Time_IoT_Sensor_Data_and_Edge-Deployed_Machine_Learning_for_Smart_Residential_Contexts" TargetMode="External"/><Relationship Id="rId156" Type="http://schemas.openxmlformats.org/officeDocument/2006/relationships/hyperlink" Target="https://www.researchgate.net/publication/400049498_Environmental_Hazards_Prediction_Using_Real-Time_IoT_Sensor_Data_and_Edge-Deployed_Machine_Learning_for_Smart_Residential_Contexts" TargetMode="External"/><Relationship Id="rId155" Type="http://schemas.openxmlformats.org/officeDocument/2006/relationships/hyperlink" Target="https://ieeexplore.ieee.org/document/11364132" TargetMode="External"/><Relationship Id="rId107" Type="http://schemas.openxmlformats.org/officeDocument/2006/relationships/hyperlink" Target="https://www.researchgate.net/publication/361525485_Infrastructure-free_Deep_Learned_Urban_Noise_Monitoring_at_100mW" TargetMode="External"/><Relationship Id="rId106" Type="http://schemas.openxmlformats.org/officeDocument/2006/relationships/hyperlink" Target="https://www.sciencedirect.com/science/article/pii/S2542660523001713" TargetMode="External"/><Relationship Id="rId105" Type="http://schemas.openxmlformats.org/officeDocument/2006/relationships/hyperlink" Target="https://www.mdpi.com/1424-8220/23/7/3586" TargetMode="External"/><Relationship Id="rId104" Type="http://schemas.openxmlformats.org/officeDocument/2006/relationships/hyperlink" Target="https://doi.org/10.3390/s23073586" TargetMode="External"/><Relationship Id="rId109" Type="http://schemas.openxmlformats.org/officeDocument/2006/relationships/hyperlink" Target="https://pdfs.semanticscholar.org/e26b/626ec32d6dc39ce167b4657af22e365cf4e3.pdf" TargetMode="External"/><Relationship Id="rId108" Type="http://schemas.openxmlformats.org/officeDocument/2006/relationships/hyperlink" Target="https://pdfs.semanticscholar.org/e26b/626ec32d6dc39ce167b4657af22e365cf4e3.pdf" TargetMode="External"/><Relationship Id="rId220" Type="http://schemas.openxmlformats.org/officeDocument/2006/relationships/vmlDrawing" Target="../drawings/vmlDrawing1.vml"/><Relationship Id="rId103" Type="http://schemas.openxmlformats.org/officeDocument/2006/relationships/hyperlink" Target="https://ieeexplore.ieee.org/document/11091675" TargetMode="External"/><Relationship Id="rId102" Type="http://schemas.openxmlformats.org/officeDocument/2006/relationships/hyperlink" Target="https://ieeexplore.ieee.org/document/9556173" TargetMode="External"/><Relationship Id="rId101" Type="http://schemas.openxmlformats.org/officeDocument/2006/relationships/hyperlink" Target="https://ieeexplore.ieee.org/document/11224761" TargetMode="External"/><Relationship Id="rId100" Type="http://schemas.openxmlformats.org/officeDocument/2006/relationships/hyperlink" Target="https://dl-acm-org.aus.idm.oclc.org/doi/10.1145/3793553" TargetMode="External"/><Relationship Id="rId217" Type="http://schemas.openxmlformats.org/officeDocument/2006/relationships/hyperlink" Target="https://ieeexplore.ieee.org/abstract/document/11378822" TargetMode="External"/><Relationship Id="rId216" Type="http://schemas.openxmlformats.org/officeDocument/2006/relationships/hyperlink" Target="https://arxiv.org/abs/2410.12032" TargetMode="External"/><Relationship Id="rId215" Type="http://schemas.openxmlformats.org/officeDocument/2006/relationships/hyperlink" Target="https://arxiv.org/abs/2410.12032" TargetMode="External"/><Relationship Id="rId214" Type="http://schemas.openxmlformats.org/officeDocument/2006/relationships/hyperlink" Target="https://dl.acm.org/doi/10.1145/3441250.3441277" TargetMode="External"/><Relationship Id="rId219" Type="http://schemas.openxmlformats.org/officeDocument/2006/relationships/drawing" Target="../drawings/drawing1.xml"/><Relationship Id="rId218" Type="http://schemas.openxmlformats.org/officeDocument/2006/relationships/hyperlink" Target="https://ieeexplore.ieee.org/abstract/document/11378822" TargetMode="External"/><Relationship Id="rId213" Type="http://schemas.openxmlformats.org/officeDocument/2006/relationships/hyperlink" Target="https://dl.acm.org/doi/10.1145/3441250.3441277" TargetMode="External"/><Relationship Id="rId212" Type="http://schemas.openxmlformats.org/officeDocument/2006/relationships/hyperlink" Target="https://arxiv.org/abs/2206.11791" TargetMode="External"/><Relationship Id="rId211" Type="http://schemas.openxmlformats.org/officeDocument/2006/relationships/hyperlink" Target="https://arxiv.org/abs/2206.11791" TargetMode="External"/><Relationship Id="rId210" Type="http://schemas.openxmlformats.org/officeDocument/2006/relationships/hyperlink" Target="https://ieeexplore.ieee.org/abstract/document/11373387" TargetMode="External"/><Relationship Id="rId129" Type="http://schemas.openxmlformats.org/officeDocument/2006/relationships/hyperlink" Target="https://arxiv.org/abs/1804.03209" TargetMode="External"/><Relationship Id="rId128" Type="http://schemas.openxmlformats.org/officeDocument/2006/relationships/hyperlink" Target="https://github.com/tensorflow/tensorflow/tree/master/tensorflow/examples/speech_commands" TargetMode="External"/><Relationship Id="rId127" Type="http://schemas.openxmlformats.org/officeDocument/2006/relationships/hyperlink" Target="http://arxiv.org/abs/1804.03209" TargetMode="External"/><Relationship Id="rId126" Type="http://schemas.openxmlformats.org/officeDocument/2006/relationships/hyperlink" Target="http://www.doi.org/10.24132/CSRN.2025-4" TargetMode="External"/><Relationship Id="rId121" Type="http://schemas.openxmlformats.org/officeDocument/2006/relationships/hyperlink" Target="https://doi.org/10.1145/3542819" TargetMode="External"/><Relationship Id="rId120" Type="http://schemas.openxmlformats.org/officeDocument/2006/relationships/hyperlink" Target="https://arxiv.org/abs/2402.10748" TargetMode="External"/><Relationship Id="rId125" Type="http://schemas.openxmlformats.org/officeDocument/2006/relationships/hyperlink" Target="http://www.doi.org/10.24132/CSRN.2025-4" TargetMode="External"/><Relationship Id="rId124" Type="http://schemas.openxmlformats.org/officeDocument/2006/relationships/hyperlink" Target="https://arxiv.org/abs/2206.07652" TargetMode="External"/><Relationship Id="rId123" Type="http://schemas.openxmlformats.org/officeDocument/2006/relationships/hyperlink" Target="https://arxiv.org/abs/2206.07652" TargetMode="External"/><Relationship Id="rId122" Type="http://schemas.openxmlformats.org/officeDocument/2006/relationships/hyperlink" Target="https://arxiv.org/abs/2209.00839" TargetMode="External"/><Relationship Id="rId95" Type="http://schemas.openxmlformats.org/officeDocument/2006/relationships/hyperlink" Target="https://doi.org/10.1145/3609425" TargetMode="External"/><Relationship Id="rId94" Type="http://schemas.openxmlformats.org/officeDocument/2006/relationships/hyperlink" Target="https://www.researchgate.net/publication/395280133_TinyML-Based_Real-Time_Doorway_Activity_Recognition_with_a_Time-of-Flight_Sensor" TargetMode="External"/><Relationship Id="rId97" Type="http://schemas.openxmlformats.org/officeDocument/2006/relationships/hyperlink" Target="https://doi.org/10.1145/3659609" TargetMode="External"/><Relationship Id="rId96" Type="http://schemas.openxmlformats.org/officeDocument/2006/relationships/hyperlink" Target="https://dl-acm-org.aus.idm.oclc.org/doi/full/10.1145/3609425" TargetMode="External"/><Relationship Id="rId99" Type="http://schemas.openxmlformats.org/officeDocument/2006/relationships/hyperlink" Target="https://doi.org/10.1145/3793553" TargetMode="External"/><Relationship Id="rId98" Type="http://schemas.openxmlformats.org/officeDocument/2006/relationships/hyperlink" Target="https://dl-acm-org.aus.idm.oclc.org/doi/10.1145/3678591" TargetMode="External"/><Relationship Id="rId91" Type="http://schemas.openxmlformats.org/officeDocument/2006/relationships/hyperlink" Target="https://doi.org/10.3390/electronics10212640" TargetMode="External"/><Relationship Id="rId90" Type="http://schemas.openxmlformats.org/officeDocument/2006/relationships/hyperlink" Target="https://ieeexplore-ieee-org.aus.idm.oclc.org/document/10761203" TargetMode="External"/><Relationship Id="rId93" Type="http://schemas.openxmlformats.org/officeDocument/2006/relationships/hyperlink" Target="https://doi.org/10.3390/electronics14173533" TargetMode="External"/><Relationship Id="rId92" Type="http://schemas.openxmlformats.org/officeDocument/2006/relationships/hyperlink" Target="https://www.researchgate.net/publication/355787942_Are_Microcontrollers_Ready_for_Deep_Learning-Based_Human_Activity_Recognition" TargetMode="External"/><Relationship Id="rId118" Type="http://schemas.openxmlformats.org/officeDocument/2006/relationships/hyperlink" Target="https://inass.org/wp-content/uploads/2025/04/2025083138-2.pdf" TargetMode="External"/><Relationship Id="rId117" Type="http://schemas.openxmlformats.org/officeDocument/2006/relationships/hyperlink" Target="https://www.nature.com/articles/s41598-025-00762-4" TargetMode="External"/><Relationship Id="rId116" Type="http://schemas.openxmlformats.org/officeDocument/2006/relationships/hyperlink" Target="https://www.techscience.com/cmc/v80n1/57380" TargetMode="External"/><Relationship Id="rId115" Type="http://schemas.openxmlformats.org/officeDocument/2006/relationships/hyperlink" Target="https://www.mdpi.com/1424-8220/22/5/2006" TargetMode="External"/><Relationship Id="rId119" Type="http://schemas.openxmlformats.org/officeDocument/2006/relationships/hyperlink" Target="https://doi.org/10.1109/TBCAS.2024.3401858" TargetMode="External"/><Relationship Id="rId110" Type="http://schemas.openxmlformats.org/officeDocument/2006/relationships/hyperlink" Target="https://doi.org/10.1145/3661820" TargetMode="External"/><Relationship Id="rId114" Type="http://schemas.openxmlformats.org/officeDocument/2006/relationships/hyperlink" Target="https://github.com/Gsarant/Edge-computing" TargetMode="External"/><Relationship Id="rId113" Type="http://schemas.openxmlformats.org/officeDocument/2006/relationships/hyperlink" Target="https://www.researchgate.net/publication/390157620_Optimization_of_Waste_Management_Disposal_Using_Edge_Impulse_Studio_on_Tiny-Machine_Learning_Tiny-ML" TargetMode="External"/><Relationship Id="rId112" Type="http://schemas.openxmlformats.org/officeDocument/2006/relationships/hyperlink" Target="https://arxiv.org/abs/2403.19076" TargetMode="External"/><Relationship Id="rId111" Type="http://schemas.openxmlformats.org/officeDocument/2006/relationships/hyperlink" Target="https://dl-acm-org.aus.idm.oclc.org/doi/10.1145/3661820" TargetMode="External"/><Relationship Id="rId206" Type="http://schemas.openxmlformats.org/officeDocument/2006/relationships/hyperlink" Target="https://www.researchgate.net/publication/391147642_Design_and_Implementation_of_an_ESP32-Based_Intelligent_Industrial_Surveillance_System_for_Real-Time_Fire_Detection_BlackBook_Final_Year_Engineering_Project" TargetMode="External"/><Relationship Id="rId205" Type="http://schemas.openxmlformats.org/officeDocument/2006/relationships/hyperlink" Target="https://www.researchgate.net/publication/391147642_Design_and_Implementation_of_an_ESP32-Based_Intelligent_Industrial_Surveillance_System_for_Real-Time_Fire_Detection_BlackBook_Final_Year_Engineering_Project" TargetMode="External"/><Relationship Id="rId204" Type="http://schemas.openxmlformats.org/officeDocument/2006/relationships/hyperlink" Target="https://www.researchgate.net/publication/356235033_An_SRAM_Optimized_Approach_for_Constant_Memory_Consumption_and_Ultra-fast_Execution_of_ML_Classifiers_on_TinyML_Hardware" TargetMode="External"/><Relationship Id="rId203" Type="http://schemas.openxmlformats.org/officeDocument/2006/relationships/hyperlink" Target="https://www.researchgate.net/publication/356235033_An_SRAM_Optimized_Approach_for_Constant_Memory_Consumption_and_Ultra-fast_Execution_of_ML_Classifiers_on_TinyML_Hardware" TargetMode="External"/><Relationship Id="rId209" Type="http://schemas.openxmlformats.org/officeDocument/2006/relationships/hyperlink" Target="https://ieeexplore.ieee.org/abstract/document/11373387" TargetMode="External"/><Relationship Id="rId208" Type="http://schemas.openxmlformats.org/officeDocument/2006/relationships/hyperlink" Target="https://www.sciencedirect.com/science/article/pii/S2542660522001512" TargetMode="External"/><Relationship Id="rId207" Type="http://schemas.openxmlformats.org/officeDocument/2006/relationships/hyperlink" Target="https://www.sciencedirect.com/science/article/pii/S2542660522001512" TargetMode="External"/><Relationship Id="rId202" Type="http://schemas.openxmlformats.org/officeDocument/2006/relationships/hyperlink" Target="https://link.springer.com/chapter/10.1007/978-3-031-25825-1_3" TargetMode="External"/><Relationship Id="rId201" Type="http://schemas.openxmlformats.org/officeDocument/2006/relationships/hyperlink" Target="https://link.springer.com/chapter/10.1007/978-3-031-25825-1_3" TargetMode="External"/><Relationship Id="rId200" Type="http://schemas.openxmlformats.org/officeDocument/2006/relationships/hyperlink" Target="https://ieeexplore.ieee.org/abstract/document/1141044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23.13"/>
    <col customWidth="1" min="6" max="6" width="32.25"/>
    <col customWidth="1" min="7" max="7" width="16.13"/>
    <col customWidth="1" min="9" max="9" width="15.88"/>
    <col customWidth="1" min="14" max="14" width="15.5"/>
    <col customWidth="1" min="15" max="15" width="14.5"/>
    <col customWidth="1" min="19" max="19" width="16.0"/>
    <col customWidth="1" min="20" max="20" width="14.88"/>
    <col customWidth="1" min="28" max="28" width="11.5"/>
    <col customWidth="1" min="29" max="29" width="16.13"/>
    <col customWidth="1" min="30" max="30" width="16.5"/>
    <col customWidth="1" min="31" max="31" width="18.0"/>
    <col customWidth="1" min="32" max="32" width="17.75"/>
    <col customWidth="1" min="33" max="33" width="18.88"/>
    <col customWidth="1" min="34" max="34" width="15.13"/>
    <col customWidth="1" min="35" max="35" width="15.38"/>
    <col customWidth="1" min="36" max="36" width="14.0"/>
    <col customWidth="1" min="40" max="40" width="14.38"/>
    <col customWidth="1" min="42" max="42" width="12.63"/>
    <col customWidth="1" min="46" max="47" width="16.38"/>
    <col customWidth="1" min="51" max="51" width="14.63"/>
  </cols>
  <sheetData>
    <row r="1" ht="15.75" customHeight="1">
      <c r="A1" s="1" t="s">
        <v>0</v>
      </c>
      <c r="B1" s="2" t="s">
        <v>1</v>
      </c>
      <c r="C1" s="2" t="s">
        <v>2</v>
      </c>
      <c r="D1" s="2" t="s">
        <v>3</v>
      </c>
      <c r="E1" s="2" t="s">
        <v>4</v>
      </c>
      <c r="F1" s="3" t="s">
        <v>5</v>
      </c>
      <c r="G1" s="2" t="s">
        <v>6</v>
      </c>
      <c r="H1" s="4" t="s">
        <v>7</v>
      </c>
      <c r="I1" s="4" t="s">
        <v>8</v>
      </c>
      <c r="J1" s="4" t="s">
        <v>9</v>
      </c>
      <c r="K1" s="4" t="s">
        <v>10</v>
      </c>
      <c r="L1" s="4" t="s">
        <v>11</v>
      </c>
      <c r="M1" s="4" t="s">
        <v>12</v>
      </c>
      <c r="N1" s="2" t="s">
        <v>13</v>
      </c>
      <c r="O1" s="2" t="s">
        <v>14</v>
      </c>
      <c r="P1" s="4" t="s">
        <v>15</v>
      </c>
      <c r="Q1" s="2" t="s">
        <v>16</v>
      </c>
      <c r="R1" s="2" t="s">
        <v>17</v>
      </c>
      <c r="S1" s="4" t="s">
        <v>18</v>
      </c>
      <c r="T1" s="2" t="s">
        <v>19</v>
      </c>
      <c r="U1" s="4" t="s">
        <v>20</v>
      </c>
      <c r="V1" s="2" t="s">
        <v>21</v>
      </c>
      <c r="W1" s="2" t="s">
        <v>22</v>
      </c>
      <c r="X1" s="2" t="s">
        <v>23</v>
      </c>
      <c r="Y1" s="2" t="s">
        <v>24</v>
      </c>
      <c r="Z1" s="2" t="s">
        <v>25</v>
      </c>
      <c r="AA1" s="2" t="s">
        <v>26</v>
      </c>
      <c r="AB1" s="2" t="s">
        <v>27</v>
      </c>
      <c r="AC1" s="2" t="s">
        <v>28</v>
      </c>
      <c r="AD1" s="4" t="s">
        <v>29</v>
      </c>
      <c r="AE1" s="2" t="s">
        <v>30</v>
      </c>
      <c r="AF1" s="2" t="s">
        <v>31</v>
      </c>
      <c r="AG1" s="2" t="s">
        <v>32</v>
      </c>
      <c r="AH1" s="2" t="s">
        <v>33</v>
      </c>
      <c r="AI1" s="2" t="s">
        <v>34</v>
      </c>
      <c r="AJ1" s="2" t="s">
        <v>35</v>
      </c>
      <c r="AK1" s="2" t="s">
        <v>36</v>
      </c>
      <c r="AL1" s="2" t="s">
        <v>37</v>
      </c>
      <c r="AM1" s="2" t="s">
        <v>38</v>
      </c>
      <c r="AN1" s="4" t="s">
        <v>39</v>
      </c>
      <c r="AO1" s="2" t="s">
        <v>40</v>
      </c>
      <c r="AP1" s="2" t="s">
        <v>41</v>
      </c>
      <c r="AQ1" s="2" t="s">
        <v>42</v>
      </c>
      <c r="AR1" s="2" t="s">
        <v>43</v>
      </c>
      <c r="AS1" s="2" t="s">
        <v>44</v>
      </c>
      <c r="AT1" s="5" t="s">
        <v>45</v>
      </c>
      <c r="AU1" s="5" t="s">
        <v>46</v>
      </c>
      <c r="AV1" s="2" t="s">
        <v>47</v>
      </c>
      <c r="AW1" s="2" t="s">
        <v>48</v>
      </c>
      <c r="AX1" s="5" t="s">
        <v>49</v>
      </c>
      <c r="AY1" s="6" t="s">
        <v>50</v>
      </c>
      <c r="AZ1" s="7"/>
      <c r="BA1" s="8"/>
      <c r="BB1" s="9"/>
      <c r="BC1" s="8"/>
      <c r="BD1" s="9"/>
      <c r="BE1" s="8"/>
      <c r="BF1" s="9"/>
      <c r="BG1" s="8"/>
      <c r="BH1" s="9"/>
      <c r="BI1" s="8"/>
      <c r="BJ1" s="9"/>
      <c r="BK1" s="8"/>
      <c r="BL1" s="8"/>
    </row>
    <row r="2" ht="15.75" customHeight="1">
      <c r="A2" s="10" t="s">
        <v>51</v>
      </c>
      <c r="B2" s="11" t="s">
        <v>52</v>
      </c>
      <c r="C2" s="12" t="s">
        <v>53</v>
      </c>
      <c r="D2" s="11">
        <v>2025.0</v>
      </c>
      <c r="E2" s="11" t="s">
        <v>54</v>
      </c>
      <c r="F2" s="13" t="s">
        <v>55</v>
      </c>
      <c r="G2" s="11" t="s">
        <v>56</v>
      </c>
      <c r="H2" s="14" t="s">
        <v>57</v>
      </c>
      <c r="I2" s="14" t="s">
        <v>58</v>
      </c>
      <c r="J2" s="15" t="s">
        <v>59</v>
      </c>
      <c r="K2" s="14" t="s">
        <v>60</v>
      </c>
      <c r="L2" s="14" t="s">
        <v>61</v>
      </c>
      <c r="M2" s="14" t="s">
        <v>62</v>
      </c>
      <c r="N2" s="11">
        <v>100.0</v>
      </c>
      <c r="O2" s="11" t="s">
        <v>63</v>
      </c>
      <c r="P2" s="14" t="s">
        <v>64</v>
      </c>
      <c r="Q2" s="11" t="s">
        <v>65</v>
      </c>
      <c r="R2" s="11" t="s">
        <v>66</v>
      </c>
      <c r="S2" s="14" t="s">
        <v>67</v>
      </c>
      <c r="T2" s="11" t="s">
        <v>68</v>
      </c>
      <c r="U2" s="14" t="s">
        <v>69</v>
      </c>
      <c r="V2" s="11" t="s">
        <v>70</v>
      </c>
      <c r="W2" s="11" t="s">
        <v>71</v>
      </c>
      <c r="X2" s="11" t="s">
        <v>72</v>
      </c>
      <c r="Y2" s="11" t="s">
        <v>63</v>
      </c>
      <c r="Z2" s="11" t="s">
        <v>63</v>
      </c>
      <c r="AA2" s="11" t="s">
        <v>73</v>
      </c>
      <c r="AB2" s="11" t="s">
        <v>63</v>
      </c>
      <c r="AC2" s="11" t="s">
        <v>74</v>
      </c>
      <c r="AD2" s="14" t="s">
        <v>75</v>
      </c>
      <c r="AE2" s="11" t="s">
        <v>76</v>
      </c>
      <c r="AF2" s="16">
        <v>0.965</v>
      </c>
      <c r="AG2" s="11" t="s">
        <v>77</v>
      </c>
      <c r="AH2" s="11" t="s">
        <v>63</v>
      </c>
      <c r="AI2" s="11" t="s">
        <v>63</v>
      </c>
      <c r="AJ2" s="11" t="s">
        <v>63</v>
      </c>
      <c r="AK2" s="11" t="s">
        <v>63</v>
      </c>
      <c r="AL2" s="11" t="s">
        <v>63</v>
      </c>
      <c r="AM2" s="11" t="s">
        <v>63</v>
      </c>
      <c r="AN2" s="14" t="s">
        <v>78</v>
      </c>
      <c r="AO2" s="11" t="s">
        <v>63</v>
      </c>
      <c r="AP2" s="11" t="s">
        <v>79</v>
      </c>
      <c r="AQ2" s="11" t="s">
        <v>63</v>
      </c>
      <c r="AR2" s="11" t="s">
        <v>63</v>
      </c>
      <c r="AS2" s="17" t="s">
        <v>80</v>
      </c>
      <c r="AT2" s="11" t="s">
        <v>81</v>
      </c>
      <c r="AU2" s="18" t="s">
        <v>82</v>
      </c>
      <c r="AV2" s="18" t="s">
        <v>83</v>
      </c>
      <c r="AW2" s="11" t="s">
        <v>84</v>
      </c>
      <c r="AX2" s="18" t="s">
        <v>85</v>
      </c>
      <c r="AY2" s="19" t="s">
        <v>86</v>
      </c>
      <c r="AZ2" s="20"/>
      <c r="BA2" s="21"/>
      <c r="BB2" s="21"/>
      <c r="BC2" s="21"/>
      <c r="BD2" s="21"/>
      <c r="BE2" s="21"/>
      <c r="BF2" s="21"/>
      <c r="BG2" s="21"/>
      <c r="BH2" s="21"/>
      <c r="BI2" s="21"/>
      <c r="BJ2" s="21"/>
      <c r="BK2" s="21"/>
      <c r="BL2" s="21"/>
    </row>
    <row r="3" ht="15.75" customHeight="1">
      <c r="A3" s="10" t="s">
        <v>87</v>
      </c>
      <c r="B3" s="11" t="s">
        <v>88</v>
      </c>
      <c r="C3" s="11" t="s">
        <v>89</v>
      </c>
      <c r="D3" s="11">
        <v>2023.0</v>
      </c>
      <c r="E3" s="11" t="s">
        <v>90</v>
      </c>
      <c r="F3" s="13" t="s">
        <v>91</v>
      </c>
      <c r="G3" s="11" t="s">
        <v>92</v>
      </c>
      <c r="H3" s="14" t="s">
        <v>57</v>
      </c>
      <c r="I3" s="14" t="s">
        <v>58</v>
      </c>
      <c r="J3" s="15" t="s">
        <v>59</v>
      </c>
      <c r="K3" s="14" t="s">
        <v>93</v>
      </c>
      <c r="L3" s="14" t="s">
        <v>94</v>
      </c>
      <c r="M3" s="14" t="s">
        <v>95</v>
      </c>
      <c r="N3" s="11">
        <v>1125.0</v>
      </c>
      <c r="O3" s="11">
        <v>0.5</v>
      </c>
      <c r="P3" s="14" t="s">
        <v>64</v>
      </c>
      <c r="Q3" s="11" t="s">
        <v>96</v>
      </c>
      <c r="R3" s="11" t="s">
        <v>63</v>
      </c>
      <c r="S3" s="14" t="s">
        <v>97</v>
      </c>
      <c r="T3" s="11" t="s">
        <v>98</v>
      </c>
      <c r="U3" s="14" t="s">
        <v>99</v>
      </c>
      <c r="V3" s="11" t="s">
        <v>100</v>
      </c>
      <c r="W3" s="11" t="s">
        <v>63</v>
      </c>
      <c r="X3" s="11" t="s">
        <v>63</v>
      </c>
      <c r="Y3" s="11" t="s">
        <v>63</v>
      </c>
      <c r="Z3" s="11" t="s">
        <v>63</v>
      </c>
      <c r="AA3" s="11" t="s">
        <v>101</v>
      </c>
      <c r="AB3" s="11" t="s">
        <v>63</v>
      </c>
      <c r="AC3" s="11" t="s">
        <v>74</v>
      </c>
      <c r="AD3" s="14" t="s">
        <v>83</v>
      </c>
      <c r="AE3" s="11" t="s">
        <v>102</v>
      </c>
      <c r="AF3" s="11" t="s">
        <v>103</v>
      </c>
      <c r="AG3" s="11" t="s">
        <v>104</v>
      </c>
      <c r="AH3" s="11" t="s">
        <v>63</v>
      </c>
      <c r="AI3" s="11" t="s">
        <v>63</v>
      </c>
      <c r="AJ3" s="11" t="s">
        <v>63</v>
      </c>
      <c r="AK3" s="11">
        <v>4096.0</v>
      </c>
      <c r="AL3" s="11" t="s">
        <v>105</v>
      </c>
      <c r="AM3" s="11" t="s">
        <v>63</v>
      </c>
      <c r="AN3" s="14" t="s">
        <v>106</v>
      </c>
      <c r="AO3" s="11" t="s">
        <v>107</v>
      </c>
      <c r="AP3" s="11" t="s">
        <v>108</v>
      </c>
      <c r="AQ3" s="11" t="s">
        <v>63</v>
      </c>
      <c r="AR3" s="11" t="s">
        <v>63</v>
      </c>
      <c r="AS3" s="17" t="s">
        <v>109</v>
      </c>
      <c r="AT3" s="11" t="s">
        <v>110</v>
      </c>
      <c r="AU3" s="18" t="s">
        <v>111</v>
      </c>
      <c r="AV3" s="18" t="s">
        <v>83</v>
      </c>
      <c r="AW3" s="11" t="s">
        <v>84</v>
      </c>
      <c r="AX3" s="18" t="s">
        <v>85</v>
      </c>
      <c r="AY3" s="19" t="s">
        <v>86</v>
      </c>
      <c r="AZ3" s="20"/>
      <c r="BA3" s="21"/>
      <c r="BB3" s="21"/>
      <c r="BC3" s="21"/>
      <c r="BD3" s="21"/>
      <c r="BE3" s="21"/>
      <c r="BF3" s="21"/>
      <c r="BG3" s="21"/>
      <c r="BH3" s="21"/>
      <c r="BI3" s="21"/>
      <c r="BJ3" s="21"/>
      <c r="BK3" s="21"/>
      <c r="BL3" s="21"/>
    </row>
    <row r="4" ht="15.75" customHeight="1">
      <c r="A4" s="10" t="s">
        <v>112</v>
      </c>
      <c r="B4" s="11" t="s">
        <v>113</v>
      </c>
      <c r="C4" s="11" t="s">
        <v>114</v>
      </c>
      <c r="D4" s="11">
        <v>2024.0</v>
      </c>
      <c r="E4" s="11" t="s">
        <v>115</v>
      </c>
      <c r="F4" s="13" t="s">
        <v>116</v>
      </c>
      <c r="G4" s="11" t="s">
        <v>117</v>
      </c>
      <c r="H4" s="14" t="s">
        <v>57</v>
      </c>
      <c r="I4" s="14" t="s">
        <v>58</v>
      </c>
      <c r="J4" s="15" t="s">
        <v>59</v>
      </c>
      <c r="K4" s="14" t="s">
        <v>60</v>
      </c>
      <c r="L4" s="14" t="s">
        <v>118</v>
      </c>
      <c r="M4" s="14" t="s">
        <v>95</v>
      </c>
      <c r="N4" s="11" t="s">
        <v>119</v>
      </c>
      <c r="O4" s="11">
        <v>60.0</v>
      </c>
      <c r="P4" s="14" t="s">
        <v>64</v>
      </c>
      <c r="Q4" s="11" t="s">
        <v>120</v>
      </c>
      <c r="R4" s="11" t="s">
        <v>121</v>
      </c>
      <c r="S4" s="14" t="s">
        <v>63</v>
      </c>
      <c r="T4" s="11" t="s">
        <v>122</v>
      </c>
      <c r="U4" s="14" t="s">
        <v>69</v>
      </c>
      <c r="V4" s="11" t="s">
        <v>123</v>
      </c>
      <c r="W4" s="11" t="s">
        <v>63</v>
      </c>
      <c r="X4" s="11" t="s">
        <v>63</v>
      </c>
      <c r="Y4" s="11" t="s">
        <v>63</v>
      </c>
      <c r="Z4" s="11" t="s">
        <v>63</v>
      </c>
      <c r="AA4" s="11" t="s">
        <v>124</v>
      </c>
      <c r="AB4" s="11" t="s">
        <v>63</v>
      </c>
      <c r="AC4" s="11" t="s">
        <v>125</v>
      </c>
      <c r="AD4" s="14" t="s">
        <v>75</v>
      </c>
      <c r="AE4" s="11" t="s">
        <v>126</v>
      </c>
      <c r="AF4" s="11" t="s">
        <v>127</v>
      </c>
      <c r="AG4" s="11" t="s">
        <v>128</v>
      </c>
      <c r="AH4" s="11" t="s">
        <v>129</v>
      </c>
      <c r="AI4" s="11" t="s">
        <v>63</v>
      </c>
      <c r="AJ4" s="11" t="s">
        <v>63</v>
      </c>
      <c r="AK4" s="11" t="s">
        <v>130</v>
      </c>
      <c r="AL4" s="11" t="s">
        <v>131</v>
      </c>
      <c r="AM4" s="11" t="s">
        <v>130</v>
      </c>
      <c r="AN4" s="14" t="s">
        <v>78</v>
      </c>
      <c r="AO4" s="11" t="s">
        <v>63</v>
      </c>
      <c r="AP4" s="11" t="s">
        <v>132</v>
      </c>
      <c r="AQ4" s="11" t="s">
        <v>63</v>
      </c>
      <c r="AR4" s="11" t="s">
        <v>63</v>
      </c>
      <c r="AS4" s="17" t="s">
        <v>133</v>
      </c>
      <c r="AT4" s="11" t="s">
        <v>134</v>
      </c>
      <c r="AU4" s="18" t="s">
        <v>135</v>
      </c>
      <c r="AV4" s="18" t="s">
        <v>83</v>
      </c>
      <c r="AW4" s="11" t="s">
        <v>84</v>
      </c>
      <c r="AX4" s="18" t="s">
        <v>85</v>
      </c>
      <c r="AY4" s="19" t="s">
        <v>86</v>
      </c>
      <c r="AZ4" s="20"/>
      <c r="BA4" s="21"/>
      <c r="BB4" s="21"/>
      <c r="BC4" s="21"/>
      <c r="BD4" s="21"/>
      <c r="BE4" s="21"/>
      <c r="BF4" s="21"/>
      <c r="BG4" s="21"/>
      <c r="BH4" s="21"/>
      <c r="BI4" s="21"/>
      <c r="BJ4" s="21"/>
      <c r="BK4" s="21"/>
      <c r="BL4" s="21"/>
    </row>
    <row r="5" ht="15.75" customHeight="1">
      <c r="A5" s="10" t="s">
        <v>136</v>
      </c>
      <c r="B5" s="11" t="s">
        <v>137</v>
      </c>
      <c r="C5" s="11" t="s">
        <v>138</v>
      </c>
      <c r="D5" s="11">
        <v>2023.0</v>
      </c>
      <c r="E5" s="11" t="s">
        <v>139</v>
      </c>
      <c r="F5" s="13" t="s">
        <v>140</v>
      </c>
      <c r="G5" s="11" t="s">
        <v>141</v>
      </c>
      <c r="H5" s="14" t="s">
        <v>57</v>
      </c>
      <c r="I5" s="14" t="s">
        <v>142</v>
      </c>
      <c r="J5" s="15" t="s">
        <v>59</v>
      </c>
      <c r="K5" s="14" t="s">
        <v>60</v>
      </c>
      <c r="L5" s="14" t="s">
        <v>94</v>
      </c>
      <c r="M5" s="14" t="s">
        <v>62</v>
      </c>
      <c r="N5" s="11">
        <v>20.0</v>
      </c>
      <c r="O5" s="11" t="s">
        <v>143</v>
      </c>
      <c r="P5" s="14" t="s">
        <v>64</v>
      </c>
      <c r="Q5" s="11" t="s">
        <v>144</v>
      </c>
      <c r="R5" s="11" t="s">
        <v>63</v>
      </c>
      <c r="S5" s="14" t="s">
        <v>67</v>
      </c>
      <c r="T5" s="11" t="s">
        <v>145</v>
      </c>
      <c r="U5" s="14" t="s">
        <v>69</v>
      </c>
      <c r="V5" s="11" t="s">
        <v>146</v>
      </c>
      <c r="W5" s="11" t="s">
        <v>147</v>
      </c>
      <c r="X5" s="11" t="s">
        <v>148</v>
      </c>
      <c r="Y5" s="11" t="s">
        <v>63</v>
      </c>
      <c r="Z5" s="11" t="s">
        <v>63</v>
      </c>
      <c r="AA5" s="11" t="s">
        <v>73</v>
      </c>
      <c r="AB5" s="11" t="s">
        <v>63</v>
      </c>
      <c r="AC5" s="11" t="s">
        <v>74</v>
      </c>
      <c r="AD5" s="14" t="s">
        <v>75</v>
      </c>
      <c r="AE5" s="11" t="s">
        <v>76</v>
      </c>
      <c r="AF5" s="16">
        <v>0.976</v>
      </c>
      <c r="AG5" s="11" t="s">
        <v>149</v>
      </c>
      <c r="AH5" s="11" t="s">
        <v>150</v>
      </c>
      <c r="AI5" s="11" t="s">
        <v>63</v>
      </c>
      <c r="AJ5" s="11" t="s">
        <v>63</v>
      </c>
      <c r="AK5" s="11">
        <v>2048.0</v>
      </c>
      <c r="AL5" s="11">
        <v>512.0</v>
      </c>
      <c r="AM5" s="11">
        <v>18.8</v>
      </c>
      <c r="AN5" s="14" t="s">
        <v>78</v>
      </c>
      <c r="AO5" s="11" t="s">
        <v>63</v>
      </c>
      <c r="AP5" s="11" t="s">
        <v>79</v>
      </c>
      <c r="AQ5" s="11" t="s">
        <v>63</v>
      </c>
      <c r="AR5" s="11" t="s">
        <v>63</v>
      </c>
      <c r="AS5" s="17" t="s">
        <v>151</v>
      </c>
      <c r="AT5" s="11" t="s">
        <v>152</v>
      </c>
      <c r="AU5" s="18" t="s">
        <v>153</v>
      </c>
      <c r="AV5" s="18" t="s">
        <v>83</v>
      </c>
      <c r="AW5" s="11" t="s">
        <v>84</v>
      </c>
      <c r="AX5" s="18" t="s">
        <v>85</v>
      </c>
      <c r="AY5" s="19" t="s">
        <v>86</v>
      </c>
      <c r="AZ5" s="20"/>
      <c r="BA5" s="21"/>
      <c r="BB5" s="21"/>
      <c r="BC5" s="21"/>
      <c r="BD5" s="21"/>
      <c r="BE5" s="21"/>
      <c r="BF5" s="21"/>
      <c r="BG5" s="21"/>
      <c r="BH5" s="21"/>
      <c r="BI5" s="21"/>
      <c r="BJ5" s="21"/>
      <c r="BK5" s="21"/>
      <c r="BL5" s="21"/>
    </row>
    <row r="6" ht="15.75" customHeight="1">
      <c r="A6" s="10" t="s">
        <v>154</v>
      </c>
      <c r="B6" s="11" t="s">
        <v>155</v>
      </c>
      <c r="C6" s="11" t="s">
        <v>156</v>
      </c>
      <c r="D6" s="11">
        <v>2022.0</v>
      </c>
      <c r="E6" s="11" t="s">
        <v>157</v>
      </c>
      <c r="F6" s="13" t="s">
        <v>158</v>
      </c>
      <c r="G6" s="11" t="s">
        <v>159</v>
      </c>
      <c r="H6" s="14" t="s">
        <v>160</v>
      </c>
      <c r="I6" s="14" t="s">
        <v>142</v>
      </c>
      <c r="J6" s="14" t="s">
        <v>161</v>
      </c>
      <c r="K6" s="14" t="s">
        <v>162</v>
      </c>
      <c r="L6" s="14" t="s">
        <v>163</v>
      </c>
      <c r="M6" s="14" t="s">
        <v>164</v>
      </c>
      <c r="N6" s="11">
        <v>16000.0</v>
      </c>
      <c r="O6" s="11">
        <v>1.0</v>
      </c>
      <c r="P6" s="14" t="s">
        <v>64</v>
      </c>
      <c r="Q6" s="11" t="s">
        <v>165</v>
      </c>
      <c r="R6" s="11" t="s">
        <v>166</v>
      </c>
      <c r="S6" s="14" t="s">
        <v>97</v>
      </c>
      <c r="T6" s="11" t="s">
        <v>167</v>
      </c>
      <c r="U6" s="14" t="s">
        <v>69</v>
      </c>
      <c r="V6" s="11" t="s">
        <v>168</v>
      </c>
      <c r="W6" s="11" t="s">
        <v>169</v>
      </c>
      <c r="X6" s="11" t="s">
        <v>63</v>
      </c>
      <c r="Y6" s="11" t="s">
        <v>63</v>
      </c>
      <c r="Z6" s="11" t="s">
        <v>63</v>
      </c>
      <c r="AA6" s="11" t="s">
        <v>170</v>
      </c>
      <c r="AB6" s="11" t="s">
        <v>171</v>
      </c>
      <c r="AC6" s="11" t="s">
        <v>74</v>
      </c>
      <c r="AD6" s="14" t="s">
        <v>75</v>
      </c>
      <c r="AE6" s="11" t="s">
        <v>76</v>
      </c>
      <c r="AF6" s="16">
        <v>0.956</v>
      </c>
      <c r="AG6" s="11">
        <v>14.0</v>
      </c>
      <c r="AH6" s="11" t="s">
        <v>63</v>
      </c>
      <c r="AI6" s="11" t="s">
        <v>172</v>
      </c>
      <c r="AJ6" s="11" t="s">
        <v>63</v>
      </c>
      <c r="AK6" s="11">
        <v>56.6</v>
      </c>
      <c r="AL6" s="11">
        <v>11.2</v>
      </c>
      <c r="AM6" s="11">
        <v>45.4</v>
      </c>
      <c r="AN6" s="14" t="s">
        <v>78</v>
      </c>
      <c r="AO6" s="11" t="s">
        <v>63</v>
      </c>
      <c r="AP6" s="11" t="s">
        <v>79</v>
      </c>
      <c r="AQ6" s="11" t="s">
        <v>63</v>
      </c>
      <c r="AR6" s="11" t="s">
        <v>63</v>
      </c>
      <c r="AS6" s="22" t="s">
        <v>173</v>
      </c>
      <c r="AT6" s="23" t="s">
        <v>174</v>
      </c>
      <c r="AU6" s="18" t="s">
        <v>175</v>
      </c>
      <c r="AV6" s="18" t="s">
        <v>83</v>
      </c>
      <c r="AW6" s="11" t="s">
        <v>84</v>
      </c>
      <c r="AX6" s="18" t="s">
        <v>176</v>
      </c>
      <c r="AY6" s="19" t="s">
        <v>86</v>
      </c>
      <c r="AZ6" s="20"/>
      <c r="BA6" s="24"/>
      <c r="BB6" s="24"/>
      <c r="BC6" s="24"/>
      <c r="BD6" s="24"/>
      <c r="BE6" s="24"/>
      <c r="BF6" s="24"/>
      <c r="BG6" s="24"/>
      <c r="BH6" s="24"/>
      <c r="BI6" s="24"/>
      <c r="BJ6" s="24"/>
      <c r="BK6" s="24"/>
      <c r="BL6" s="24"/>
    </row>
    <row r="7" ht="15.75" customHeight="1">
      <c r="A7" s="10" t="s">
        <v>177</v>
      </c>
      <c r="B7" s="11" t="s">
        <v>178</v>
      </c>
      <c r="C7" s="11" t="s">
        <v>179</v>
      </c>
      <c r="D7" s="11">
        <v>2025.0</v>
      </c>
      <c r="E7" s="11" t="s">
        <v>180</v>
      </c>
      <c r="F7" s="13" t="s">
        <v>181</v>
      </c>
      <c r="G7" s="11" t="s">
        <v>182</v>
      </c>
      <c r="H7" s="14" t="s">
        <v>160</v>
      </c>
      <c r="I7" s="14" t="s">
        <v>183</v>
      </c>
      <c r="J7" s="14" t="s">
        <v>161</v>
      </c>
      <c r="K7" s="14" t="s">
        <v>184</v>
      </c>
      <c r="L7" s="14" t="s">
        <v>163</v>
      </c>
      <c r="M7" s="14" t="s">
        <v>164</v>
      </c>
      <c r="N7" s="11">
        <v>16000.0</v>
      </c>
      <c r="O7" s="11" t="s">
        <v>63</v>
      </c>
      <c r="P7" s="14" t="s">
        <v>64</v>
      </c>
      <c r="Q7" s="11" t="s">
        <v>185</v>
      </c>
      <c r="R7" s="11" t="s">
        <v>63</v>
      </c>
      <c r="S7" s="14" t="s">
        <v>63</v>
      </c>
      <c r="T7" s="11" t="s">
        <v>186</v>
      </c>
      <c r="U7" s="14" t="s">
        <v>187</v>
      </c>
      <c r="V7" s="11" t="s">
        <v>188</v>
      </c>
      <c r="W7" s="11" t="s">
        <v>169</v>
      </c>
      <c r="X7" s="11" t="s">
        <v>63</v>
      </c>
      <c r="Y7" s="11" t="s">
        <v>63</v>
      </c>
      <c r="Z7" s="11" t="s">
        <v>63</v>
      </c>
      <c r="AA7" s="11" t="s">
        <v>73</v>
      </c>
      <c r="AB7" s="11" t="s">
        <v>189</v>
      </c>
      <c r="AC7" s="11" t="s">
        <v>74</v>
      </c>
      <c r="AD7" s="14" t="s">
        <v>75</v>
      </c>
      <c r="AE7" s="11" t="s">
        <v>76</v>
      </c>
      <c r="AF7" s="16">
        <v>0.98</v>
      </c>
      <c r="AG7" s="11">
        <v>200.0</v>
      </c>
      <c r="AH7" s="11" t="s">
        <v>63</v>
      </c>
      <c r="AI7" s="11" t="s">
        <v>63</v>
      </c>
      <c r="AJ7" s="11" t="s">
        <v>63</v>
      </c>
      <c r="AK7" s="11">
        <v>19.3</v>
      </c>
      <c r="AL7" s="11">
        <v>4.8</v>
      </c>
      <c r="AM7" s="11">
        <v>15.2</v>
      </c>
      <c r="AN7" s="14" t="s">
        <v>78</v>
      </c>
      <c r="AO7" s="11" t="s">
        <v>63</v>
      </c>
      <c r="AP7" s="11" t="s">
        <v>190</v>
      </c>
      <c r="AQ7" s="11" t="s">
        <v>63</v>
      </c>
      <c r="AR7" s="11" t="s">
        <v>63</v>
      </c>
      <c r="AS7" s="22" t="s">
        <v>191</v>
      </c>
      <c r="AT7" s="23" t="s">
        <v>192</v>
      </c>
      <c r="AU7" s="18" t="s">
        <v>193</v>
      </c>
      <c r="AV7" s="18" t="s">
        <v>83</v>
      </c>
      <c r="AW7" s="11" t="s">
        <v>84</v>
      </c>
      <c r="AX7" s="18" t="s">
        <v>176</v>
      </c>
      <c r="AY7" s="19" t="s">
        <v>86</v>
      </c>
      <c r="AZ7" s="20"/>
      <c r="BA7" s="24"/>
      <c r="BB7" s="24"/>
      <c r="BC7" s="24"/>
      <c r="BD7" s="24"/>
      <c r="BE7" s="24"/>
      <c r="BF7" s="24"/>
      <c r="BG7" s="24"/>
      <c r="BH7" s="24"/>
      <c r="BI7" s="24"/>
      <c r="BJ7" s="24"/>
      <c r="BK7" s="24"/>
      <c r="BL7" s="24"/>
    </row>
    <row r="8" ht="15.75" customHeight="1">
      <c r="A8" s="10" t="s">
        <v>194</v>
      </c>
      <c r="B8" s="11" t="s">
        <v>195</v>
      </c>
      <c r="C8" s="11" t="s">
        <v>196</v>
      </c>
      <c r="D8" s="11">
        <v>2023.0</v>
      </c>
      <c r="E8" s="11" t="s">
        <v>197</v>
      </c>
      <c r="F8" s="13" t="s">
        <v>198</v>
      </c>
      <c r="G8" s="11" t="s">
        <v>199</v>
      </c>
      <c r="H8" s="14" t="s">
        <v>160</v>
      </c>
      <c r="I8" s="14" t="s">
        <v>183</v>
      </c>
      <c r="J8" s="14" t="s">
        <v>161</v>
      </c>
      <c r="K8" s="14" t="s">
        <v>184</v>
      </c>
      <c r="L8" s="14" t="s">
        <v>163</v>
      </c>
      <c r="M8" s="14" t="s">
        <v>164</v>
      </c>
      <c r="N8" s="11">
        <v>16000.0</v>
      </c>
      <c r="O8" s="11">
        <v>1.0</v>
      </c>
      <c r="P8" s="14" t="s">
        <v>64</v>
      </c>
      <c r="Q8" s="11" t="s">
        <v>200</v>
      </c>
      <c r="R8" s="11" t="s">
        <v>166</v>
      </c>
      <c r="S8" s="14" t="s">
        <v>63</v>
      </c>
      <c r="T8" s="11" t="s">
        <v>186</v>
      </c>
      <c r="U8" s="14" t="s">
        <v>187</v>
      </c>
      <c r="V8" s="11" t="s">
        <v>201</v>
      </c>
      <c r="W8" s="11" t="s">
        <v>169</v>
      </c>
      <c r="X8" s="11" t="s">
        <v>63</v>
      </c>
      <c r="Y8" s="11" t="s">
        <v>63</v>
      </c>
      <c r="Z8" s="11" t="s">
        <v>63</v>
      </c>
      <c r="AA8" s="11" t="s">
        <v>73</v>
      </c>
      <c r="AB8" s="25" t="s">
        <v>202</v>
      </c>
      <c r="AC8" s="11" t="s">
        <v>74</v>
      </c>
      <c r="AD8" s="14" t="s">
        <v>75</v>
      </c>
      <c r="AE8" s="11" t="s">
        <v>76</v>
      </c>
      <c r="AF8" s="16">
        <v>0.8451</v>
      </c>
      <c r="AG8" s="11">
        <v>181.0</v>
      </c>
      <c r="AH8" s="11" t="s">
        <v>63</v>
      </c>
      <c r="AI8" s="11" t="s">
        <v>63</v>
      </c>
      <c r="AJ8" s="11" t="s">
        <v>63</v>
      </c>
      <c r="AK8" s="11">
        <v>75.4</v>
      </c>
      <c r="AL8" s="11">
        <v>25.2</v>
      </c>
      <c r="AM8" s="11">
        <v>46.2</v>
      </c>
      <c r="AN8" s="14" t="s">
        <v>78</v>
      </c>
      <c r="AO8" s="11" t="s">
        <v>63</v>
      </c>
      <c r="AP8" s="11" t="s">
        <v>203</v>
      </c>
      <c r="AQ8" s="11" t="s">
        <v>63</v>
      </c>
      <c r="AR8" s="11" t="s">
        <v>63</v>
      </c>
      <c r="AS8" s="22" t="s">
        <v>204</v>
      </c>
      <c r="AT8" s="23" t="s">
        <v>205</v>
      </c>
      <c r="AU8" s="18" t="s">
        <v>206</v>
      </c>
      <c r="AV8" s="18" t="s">
        <v>83</v>
      </c>
      <c r="AW8" s="11" t="s">
        <v>84</v>
      </c>
      <c r="AX8" s="18" t="s">
        <v>176</v>
      </c>
      <c r="AY8" s="19" t="s">
        <v>86</v>
      </c>
      <c r="AZ8" s="20"/>
      <c r="BA8" s="24"/>
      <c r="BB8" s="24"/>
      <c r="BC8" s="24"/>
      <c r="BD8" s="24"/>
      <c r="BE8" s="24"/>
      <c r="BF8" s="24"/>
      <c r="BG8" s="24"/>
      <c r="BH8" s="24"/>
      <c r="BI8" s="24"/>
      <c r="BJ8" s="24"/>
      <c r="BK8" s="24"/>
      <c r="BL8" s="24"/>
    </row>
    <row r="9" ht="15.75" customHeight="1">
      <c r="A9" s="10" t="s">
        <v>207</v>
      </c>
      <c r="B9" s="11" t="s">
        <v>208</v>
      </c>
      <c r="C9" s="11" t="s">
        <v>209</v>
      </c>
      <c r="D9" s="11">
        <v>2024.0</v>
      </c>
      <c r="E9" s="11" t="s">
        <v>157</v>
      </c>
      <c r="F9" s="13" t="s">
        <v>210</v>
      </c>
      <c r="G9" s="11" t="s">
        <v>211</v>
      </c>
      <c r="H9" s="14" t="s">
        <v>160</v>
      </c>
      <c r="I9" s="14" t="s">
        <v>183</v>
      </c>
      <c r="J9" s="14" t="s">
        <v>161</v>
      </c>
      <c r="K9" s="14" t="s">
        <v>60</v>
      </c>
      <c r="L9" s="14" t="s">
        <v>94</v>
      </c>
      <c r="M9" s="14" t="s">
        <v>95</v>
      </c>
      <c r="N9" s="11">
        <v>16000.0</v>
      </c>
      <c r="O9" s="11">
        <v>1.0</v>
      </c>
      <c r="P9" s="14" t="s">
        <v>64</v>
      </c>
      <c r="Q9" s="11" t="s">
        <v>200</v>
      </c>
      <c r="R9" s="11" t="s">
        <v>166</v>
      </c>
      <c r="S9" s="14" t="s">
        <v>67</v>
      </c>
      <c r="T9" s="11" t="s">
        <v>212</v>
      </c>
      <c r="U9" s="14" t="s">
        <v>187</v>
      </c>
      <c r="V9" s="11" t="s">
        <v>213</v>
      </c>
      <c r="W9" s="11" t="s">
        <v>169</v>
      </c>
      <c r="X9" s="11" t="s">
        <v>63</v>
      </c>
      <c r="Y9" s="11" t="s">
        <v>63</v>
      </c>
      <c r="Z9" s="11" t="s">
        <v>63</v>
      </c>
      <c r="AA9" s="11" t="s">
        <v>214</v>
      </c>
      <c r="AB9" s="11" t="s">
        <v>215</v>
      </c>
      <c r="AC9" s="11" t="s">
        <v>74</v>
      </c>
      <c r="AD9" s="14" t="s">
        <v>75</v>
      </c>
      <c r="AE9" s="11" t="s">
        <v>76</v>
      </c>
      <c r="AF9" s="16">
        <v>0.878</v>
      </c>
      <c r="AG9" s="11">
        <v>184.0</v>
      </c>
      <c r="AH9" s="11" t="s">
        <v>63</v>
      </c>
      <c r="AI9" s="11" t="s">
        <v>63</v>
      </c>
      <c r="AJ9" s="11" t="s">
        <v>63</v>
      </c>
      <c r="AK9" s="11">
        <v>75.7</v>
      </c>
      <c r="AL9" s="11">
        <v>33.3</v>
      </c>
      <c r="AM9" s="11">
        <v>48.1</v>
      </c>
      <c r="AN9" s="14" t="s">
        <v>78</v>
      </c>
      <c r="AO9" s="11" t="s">
        <v>63</v>
      </c>
      <c r="AP9" s="11" t="s">
        <v>216</v>
      </c>
      <c r="AQ9" s="11" t="s">
        <v>63</v>
      </c>
      <c r="AR9" s="11" t="s">
        <v>63</v>
      </c>
      <c r="AS9" s="22" t="s">
        <v>217</v>
      </c>
      <c r="AT9" s="23" t="s">
        <v>218</v>
      </c>
      <c r="AU9" s="18" t="s">
        <v>175</v>
      </c>
      <c r="AV9" s="18" t="s">
        <v>83</v>
      </c>
      <c r="AW9" s="11" t="s">
        <v>84</v>
      </c>
      <c r="AX9" s="18" t="s">
        <v>176</v>
      </c>
      <c r="AY9" s="19" t="s">
        <v>86</v>
      </c>
      <c r="AZ9" s="20"/>
      <c r="BA9" s="24"/>
      <c r="BB9" s="24"/>
      <c r="BC9" s="24"/>
      <c r="BD9" s="24"/>
      <c r="BE9" s="24"/>
      <c r="BF9" s="24"/>
      <c r="BG9" s="24"/>
      <c r="BH9" s="24"/>
      <c r="BI9" s="24"/>
      <c r="BJ9" s="24"/>
      <c r="BK9" s="24"/>
      <c r="BL9" s="24"/>
    </row>
    <row r="10" ht="15.75" customHeight="1">
      <c r="A10" s="10" t="s">
        <v>219</v>
      </c>
      <c r="B10" s="11" t="s">
        <v>220</v>
      </c>
      <c r="C10" s="11" t="s">
        <v>221</v>
      </c>
      <c r="D10" s="11">
        <v>2023.0</v>
      </c>
      <c r="E10" s="11" t="s">
        <v>222</v>
      </c>
      <c r="F10" s="13" t="s">
        <v>223</v>
      </c>
      <c r="G10" s="11" t="s">
        <v>224</v>
      </c>
      <c r="H10" s="15" t="s">
        <v>225</v>
      </c>
      <c r="I10" s="14" t="s">
        <v>226</v>
      </c>
      <c r="J10" s="15" t="s">
        <v>59</v>
      </c>
      <c r="K10" s="14" t="s">
        <v>63</v>
      </c>
      <c r="L10" s="14" t="s">
        <v>163</v>
      </c>
      <c r="M10" s="14" t="s">
        <v>164</v>
      </c>
      <c r="N10" s="11" t="s">
        <v>63</v>
      </c>
      <c r="O10" s="11" t="s">
        <v>63</v>
      </c>
      <c r="P10" s="14" t="s">
        <v>64</v>
      </c>
      <c r="Q10" s="11" t="s">
        <v>227</v>
      </c>
      <c r="R10" s="11" t="s">
        <v>63</v>
      </c>
      <c r="S10" s="14" t="s">
        <v>228</v>
      </c>
      <c r="T10" s="11" t="s">
        <v>229</v>
      </c>
      <c r="U10" s="14" t="s">
        <v>230</v>
      </c>
      <c r="V10" s="11" t="s">
        <v>231</v>
      </c>
      <c r="W10" s="11" t="s">
        <v>169</v>
      </c>
      <c r="X10" s="11" t="s">
        <v>63</v>
      </c>
      <c r="Y10" s="11" t="s">
        <v>63</v>
      </c>
      <c r="Z10" s="11" t="s">
        <v>63</v>
      </c>
      <c r="AA10" s="11" t="s">
        <v>232</v>
      </c>
      <c r="AB10" s="11" t="s">
        <v>233</v>
      </c>
      <c r="AC10" s="11" t="s">
        <v>74</v>
      </c>
      <c r="AD10" s="14" t="s">
        <v>75</v>
      </c>
      <c r="AE10" s="11" t="s">
        <v>234</v>
      </c>
      <c r="AF10" s="11">
        <v>99.99</v>
      </c>
      <c r="AG10" s="11">
        <v>4.0</v>
      </c>
      <c r="AH10" s="11">
        <v>1.08</v>
      </c>
      <c r="AI10" s="11">
        <v>269.3</v>
      </c>
      <c r="AJ10" s="11" t="s">
        <v>63</v>
      </c>
      <c r="AK10" s="11">
        <v>819.0</v>
      </c>
      <c r="AL10" s="11">
        <v>102.0</v>
      </c>
      <c r="AM10" s="11">
        <v>25.0</v>
      </c>
      <c r="AN10" s="14" t="s">
        <v>235</v>
      </c>
      <c r="AO10" s="11" t="s">
        <v>236</v>
      </c>
      <c r="AP10" s="11" t="s">
        <v>237</v>
      </c>
      <c r="AQ10" s="11" t="s">
        <v>63</v>
      </c>
      <c r="AR10" s="11" t="s">
        <v>63</v>
      </c>
      <c r="AS10" s="17" t="s">
        <v>238</v>
      </c>
      <c r="AT10" s="11" t="s">
        <v>239</v>
      </c>
      <c r="AU10" s="18" t="s">
        <v>240</v>
      </c>
      <c r="AV10" s="18" t="s">
        <v>83</v>
      </c>
      <c r="AW10" s="11" t="s">
        <v>84</v>
      </c>
      <c r="AX10" s="18" t="s">
        <v>241</v>
      </c>
      <c r="AY10" s="19" t="s">
        <v>242</v>
      </c>
      <c r="AZ10" s="20"/>
      <c r="BA10" s="24"/>
      <c r="BB10" s="24"/>
      <c r="BC10" s="24"/>
      <c r="BD10" s="24"/>
      <c r="BE10" s="24"/>
      <c r="BF10" s="24"/>
      <c r="BG10" s="24"/>
      <c r="BH10" s="24"/>
      <c r="BI10" s="24"/>
      <c r="BJ10" s="24"/>
      <c r="BK10" s="24"/>
      <c r="BL10" s="24"/>
    </row>
    <row r="11" ht="15.75" customHeight="1">
      <c r="A11" s="10" t="s">
        <v>243</v>
      </c>
      <c r="B11" s="11" t="s">
        <v>244</v>
      </c>
      <c r="C11" s="11" t="s">
        <v>245</v>
      </c>
      <c r="D11" s="11">
        <v>2024.0</v>
      </c>
      <c r="E11" s="11" t="s">
        <v>246</v>
      </c>
      <c r="F11" s="13" t="s">
        <v>247</v>
      </c>
      <c r="G11" s="11" t="s">
        <v>248</v>
      </c>
      <c r="H11" s="15" t="s">
        <v>225</v>
      </c>
      <c r="I11" s="14" t="s">
        <v>226</v>
      </c>
      <c r="J11" s="14" t="s">
        <v>59</v>
      </c>
      <c r="K11" s="14" t="s">
        <v>93</v>
      </c>
      <c r="L11" s="14" t="s">
        <v>249</v>
      </c>
      <c r="M11" s="14" t="s">
        <v>250</v>
      </c>
      <c r="N11" s="11" t="s">
        <v>63</v>
      </c>
      <c r="O11" s="11" t="s">
        <v>63</v>
      </c>
      <c r="P11" s="14" t="s">
        <v>64</v>
      </c>
      <c r="Q11" s="11" t="s">
        <v>251</v>
      </c>
      <c r="R11" s="11" t="s">
        <v>63</v>
      </c>
      <c r="S11" s="14" t="s">
        <v>228</v>
      </c>
      <c r="T11" s="11" t="s">
        <v>212</v>
      </c>
      <c r="U11" s="14" t="s">
        <v>187</v>
      </c>
      <c r="V11" s="11" t="s">
        <v>252</v>
      </c>
      <c r="W11" s="11" t="s">
        <v>169</v>
      </c>
      <c r="X11" s="11" t="s">
        <v>63</v>
      </c>
      <c r="Y11" s="11" t="s">
        <v>63</v>
      </c>
      <c r="Z11" s="11" t="s">
        <v>63</v>
      </c>
      <c r="AA11" s="11" t="s">
        <v>253</v>
      </c>
      <c r="AB11" s="11" t="s">
        <v>254</v>
      </c>
      <c r="AC11" s="11" t="s">
        <v>63</v>
      </c>
      <c r="AD11" s="14" t="s">
        <v>75</v>
      </c>
      <c r="AE11" s="11" t="s">
        <v>234</v>
      </c>
      <c r="AF11" s="11">
        <v>94.17</v>
      </c>
      <c r="AG11" s="11">
        <v>296.0</v>
      </c>
      <c r="AH11" s="11">
        <v>5.61</v>
      </c>
      <c r="AI11" s="11" t="s">
        <v>63</v>
      </c>
      <c r="AJ11" s="11" t="s">
        <v>255</v>
      </c>
      <c r="AK11" s="11">
        <v>358.0</v>
      </c>
      <c r="AL11" s="11">
        <v>96.0</v>
      </c>
      <c r="AM11" s="11">
        <v>7.57</v>
      </c>
      <c r="AN11" s="14" t="s">
        <v>235</v>
      </c>
      <c r="AO11" s="11" t="s">
        <v>63</v>
      </c>
      <c r="AP11" s="11" t="s">
        <v>256</v>
      </c>
      <c r="AQ11" s="11" t="s">
        <v>63</v>
      </c>
      <c r="AR11" s="11" t="s">
        <v>63</v>
      </c>
      <c r="AS11" s="17" t="s">
        <v>257</v>
      </c>
      <c r="AT11" s="11" t="s">
        <v>258</v>
      </c>
      <c r="AU11" s="18" t="s">
        <v>259</v>
      </c>
      <c r="AV11" s="18" t="s">
        <v>83</v>
      </c>
      <c r="AW11" s="11" t="s">
        <v>84</v>
      </c>
      <c r="AX11" s="18" t="s">
        <v>260</v>
      </c>
      <c r="AY11" s="19" t="s">
        <v>261</v>
      </c>
      <c r="AZ11" s="20"/>
      <c r="BA11" s="24"/>
      <c r="BB11" s="24"/>
      <c r="BC11" s="24"/>
      <c r="BD11" s="24"/>
      <c r="BE11" s="24"/>
      <c r="BF11" s="24"/>
      <c r="BG11" s="24"/>
      <c r="BH11" s="24"/>
      <c r="BI11" s="24"/>
      <c r="BJ11" s="24"/>
      <c r="BK11" s="24"/>
      <c r="BL11" s="24"/>
    </row>
    <row r="12" ht="15.75" customHeight="1">
      <c r="A12" s="10" t="s">
        <v>262</v>
      </c>
      <c r="B12" s="11" t="s">
        <v>263</v>
      </c>
      <c r="C12" s="11" t="s">
        <v>264</v>
      </c>
      <c r="D12" s="11">
        <v>2025.0</v>
      </c>
      <c r="E12" s="11" t="s">
        <v>265</v>
      </c>
      <c r="F12" s="13" t="s">
        <v>266</v>
      </c>
      <c r="G12" s="11" t="s">
        <v>267</v>
      </c>
      <c r="H12" s="15" t="s">
        <v>225</v>
      </c>
      <c r="I12" s="14" t="s">
        <v>226</v>
      </c>
      <c r="J12" s="14" t="s">
        <v>268</v>
      </c>
      <c r="K12" s="14" t="s">
        <v>93</v>
      </c>
      <c r="L12" s="14" t="s">
        <v>269</v>
      </c>
      <c r="M12" s="14" t="s">
        <v>95</v>
      </c>
      <c r="N12" s="11" t="s">
        <v>63</v>
      </c>
      <c r="O12" s="11" t="s">
        <v>63</v>
      </c>
      <c r="P12" s="14" t="s">
        <v>64</v>
      </c>
      <c r="Q12" s="11" t="s">
        <v>270</v>
      </c>
      <c r="R12" s="11" t="s">
        <v>63</v>
      </c>
      <c r="S12" s="14" t="s">
        <v>271</v>
      </c>
      <c r="T12" s="11" t="s">
        <v>212</v>
      </c>
      <c r="U12" s="14" t="s">
        <v>272</v>
      </c>
      <c r="V12" s="11" t="s">
        <v>273</v>
      </c>
      <c r="W12" s="11" t="s">
        <v>169</v>
      </c>
      <c r="X12" s="11" t="s">
        <v>63</v>
      </c>
      <c r="Y12" s="11" t="s">
        <v>63</v>
      </c>
      <c r="Z12" s="11" t="s">
        <v>63</v>
      </c>
      <c r="AA12" s="11" t="s">
        <v>274</v>
      </c>
      <c r="AB12" s="11" t="s">
        <v>275</v>
      </c>
      <c r="AC12" s="11" t="s">
        <v>63</v>
      </c>
      <c r="AD12" s="14" t="s">
        <v>75</v>
      </c>
      <c r="AE12" s="11" t="s">
        <v>76</v>
      </c>
      <c r="AF12" s="11" t="s">
        <v>276</v>
      </c>
      <c r="AG12" s="11" t="s">
        <v>63</v>
      </c>
      <c r="AH12" s="11" t="s">
        <v>63</v>
      </c>
      <c r="AI12" s="11" t="s">
        <v>63</v>
      </c>
      <c r="AJ12" s="11" t="s">
        <v>63</v>
      </c>
      <c r="AK12" s="11" t="s">
        <v>63</v>
      </c>
      <c r="AL12" s="11" t="s">
        <v>63</v>
      </c>
      <c r="AM12" s="11">
        <v>254.0</v>
      </c>
      <c r="AN12" s="14" t="s">
        <v>235</v>
      </c>
      <c r="AO12" s="11" t="s">
        <v>63</v>
      </c>
      <c r="AP12" s="11" t="s">
        <v>63</v>
      </c>
      <c r="AQ12" s="11" t="s">
        <v>63</v>
      </c>
      <c r="AR12" s="11" t="s">
        <v>63</v>
      </c>
      <c r="AS12" s="17" t="s">
        <v>277</v>
      </c>
      <c r="AT12" s="11" t="s">
        <v>278</v>
      </c>
      <c r="AU12" s="18" t="s">
        <v>279</v>
      </c>
      <c r="AV12" s="18" t="s">
        <v>83</v>
      </c>
      <c r="AW12" s="11" t="s">
        <v>84</v>
      </c>
      <c r="AX12" s="18" t="s">
        <v>280</v>
      </c>
      <c r="AY12" s="19" t="s">
        <v>281</v>
      </c>
      <c r="AZ12" s="20"/>
      <c r="BA12" s="24"/>
      <c r="BB12" s="24"/>
      <c r="BC12" s="24"/>
      <c r="BD12" s="24"/>
      <c r="BE12" s="24"/>
      <c r="BF12" s="24"/>
      <c r="BG12" s="24"/>
      <c r="BH12" s="24"/>
      <c r="BI12" s="24"/>
      <c r="BJ12" s="24"/>
      <c r="BK12" s="24"/>
      <c r="BL12" s="24"/>
    </row>
    <row r="13" ht="15.75" customHeight="1">
      <c r="A13" s="10" t="s">
        <v>282</v>
      </c>
      <c r="B13" s="11" t="s">
        <v>283</v>
      </c>
      <c r="C13" s="11" t="s">
        <v>284</v>
      </c>
      <c r="D13" s="11">
        <v>2023.0</v>
      </c>
      <c r="E13" s="11" t="s">
        <v>285</v>
      </c>
      <c r="F13" s="13" t="s">
        <v>286</v>
      </c>
      <c r="G13" s="11" t="s">
        <v>287</v>
      </c>
      <c r="H13" s="15" t="s">
        <v>225</v>
      </c>
      <c r="I13" s="14" t="s">
        <v>226</v>
      </c>
      <c r="J13" s="14" t="s">
        <v>288</v>
      </c>
      <c r="K13" s="14" t="s">
        <v>63</v>
      </c>
      <c r="L13" s="14" t="s">
        <v>249</v>
      </c>
      <c r="M13" s="14" t="s">
        <v>250</v>
      </c>
      <c r="N13" s="11" t="s">
        <v>63</v>
      </c>
      <c r="O13" s="11" t="s">
        <v>63</v>
      </c>
      <c r="P13" s="14" t="s">
        <v>64</v>
      </c>
      <c r="Q13" s="11" t="s">
        <v>289</v>
      </c>
      <c r="R13" s="11" t="s">
        <v>63</v>
      </c>
      <c r="S13" s="14" t="s">
        <v>228</v>
      </c>
      <c r="T13" s="11" t="s">
        <v>290</v>
      </c>
      <c r="U13" s="14" t="s">
        <v>187</v>
      </c>
      <c r="V13" s="11" t="s">
        <v>291</v>
      </c>
      <c r="W13" s="11" t="s">
        <v>169</v>
      </c>
      <c r="X13" s="11" t="s">
        <v>63</v>
      </c>
      <c r="Y13" s="11" t="s">
        <v>63</v>
      </c>
      <c r="Z13" s="11" t="s">
        <v>63</v>
      </c>
      <c r="AA13" s="11" t="s">
        <v>292</v>
      </c>
      <c r="AB13" s="11" t="s">
        <v>293</v>
      </c>
      <c r="AC13" s="11" t="s">
        <v>63</v>
      </c>
      <c r="AD13" s="14" t="s">
        <v>75</v>
      </c>
      <c r="AE13" s="11" t="s">
        <v>294</v>
      </c>
      <c r="AF13" s="11">
        <v>84.9</v>
      </c>
      <c r="AG13" s="11" t="s">
        <v>295</v>
      </c>
      <c r="AH13" s="11" t="s">
        <v>63</v>
      </c>
      <c r="AI13" s="11" t="s">
        <v>63</v>
      </c>
      <c r="AJ13" s="11" t="s">
        <v>63</v>
      </c>
      <c r="AK13" s="11" t="s">
        <v>296</v>
      </c>
      <c r="AL13" s="11" t="s">
        <v>297</v>
      </c>
      <c r="AM13" s="11" t="s">
        <v>63</v>
      </c>
      <c r="AN13" s="14" t="s">
        <v>235</v>
      </c>
      <c r="AO13" s="11" t="s">
        <v>298</v>
      </c>
      <c r="AP13" s="11" t="s">
        <v>63</v>
      </c>
      <c r="AQ13" s="11" t="s">
        <v>63</v>
      </c>
      <c r="AR13" s="11" t="s">
        <v>63</v>
      </c>
      <c r="AS13" s="17" t="s">
        <v>299</v>
      </c>
      <c r="AT13" s="11" t="s">
        <v>300</v>
      </c>
      <c r="AU13" s="18" t="s">
        <v>301</v>
      </c>
      <c r="AV13" s="18" t="s">
        <v>83</v>
      </c>
      <c r="AW13" s="11" t="s">
        <v>84</v>
      </c>
      <c r="AX13" s="18" t="s">
        <v>280</v>
      </c>
      <c r="AY13" s="19" t="s">
        <v>281</v>
      </c>
      <c r="AZ13" s="20"/>
      <c r="BA13" s="24"/>
      <c r="BB13" s="24"/>
      <c r="BC13" s="24"/>
      <c r="BD13" s="24"/>
      <c r="BE13" s="24"/>
      <c r="BF13" s="24"/>
      <c r="BG13" s="24"/>
      <c r="BH13" s="24"/>
      <c r="BI13" s="24"/>
      <c r="BJ13" s="24"/>
      <c r="BK13" s="24"/>
      <c r="BL13" s="24"/>
    </row>
    <row r="14" ht="15.75" customHeight="1">
      <c r="A14" s="10" t="s">
        <v>302</v>
      </c>
      <c r="B14" s="11" t="s">
        <v>303</v>
      </c>
      <c r="C14" s="11" t="s">
        <v>304</v>
      </c>
      <c r="D14" s="11">
        <v>2025.0</v>
      </c>
      <c r="E14" s="11" t="s">
        <v>305</v>
      </c>
      <c r="F14" s="13" t="s">
        <v>306</v>
      </c>
      <c r="G14" s="11" t="s">
        <v>307</v>
      </c>
      <c r="H14" s="15" t="s">
        <v>225</v>
      </c>
      <c r="I14" s="14" t="s">
        <v>226</v>
      </c>
      <c r="J14" s="14" t="s">
        <v>308</v>
      </c>
      <c r="K14" s="14" t="s">
        <v>63</v>
      </c>
      <c r="L14" s="14" t="s">
        <v>249</v>
      </c>
      <c r="M14" s="14" t="s">
        <v>250</v>
      </c>
      <c r="N14" s="11" t="s">
        <v>63</v>
      </c>
      <c r="O14" s="11" t="s">
        <v>63</v>
      </c>
      <c r="P14" s="14" t="s">
        <v>64</v>
      </c>
      <c r="Q14" s="11" t="s">
        <v>309</v>
      </c>
      <c r="R14" s="11" t="s">
        <v>63</v>
      </c>
      <c r="S14" s="14" t="s">
        <v>228</v>
      </c>
      <c r="T14" s="11" t="s">
        <v>310</v>
      </c>
      <c r="U14" s="14" t="s">
        <v>187</v>
      </c>
      <c r="V14" s="11" t="s">
        <v>311</v>
      </c>
      <c r="W14" s="11" t="s">
        <v>169</v>
      </c>
      <c r="X14" s="11" t="s">
        <v>63</v>
      </c>
      <c r="Y14" s="11" t="s">
        <v>63</v>
      </c>
      <c r="Z14" s="11" t="s">
        <v>63</v>
      </c>
      <c r="AA14" s="11" t="s">
        <v>312</v>
      </c>
      <c r="AB14" s="11" t="s">
        <v>313</v>
      </c>
      <c r="AC14" s="11" t="s">
        <v>63</v>
      </c>
      <c r="AD14" s="14" t="s">
        <v>75</v>
      </c>
      <c r="AE14" s="11" t="s">
        <v>76</v>
      </c>
      <c r="AF14" s="11">
        <v>91.4</v>
      </c>
      <c r="AG14" s="11">
        <v>992.0</v>
      </c>
      <c r="AH14" s="11" t="s">
        <v>63</v>
      </c>
      <c r="AI14" s="11" t="s">
        <v>63</v>
      </c>
      <c r="AJ14" s="11" t="s">
        <v>63</v>
      </c>
      <c r="AK14" s="11">
        <v>236.0</v>
      </c>
      <c r="AL14" s="11">
        <v>169.0</v>
      </c>
      <c r="AM14" s="11" t="s">
        <v>63</v>
      </c>
      <c r="AN14" s="14" t="s">
        <v>78</v>
      </c>
      <c r="AO14" s="11" t="s">
        <v>63</v>
      </c>
      <c r="AP14" s="11" t="s">
        <v>314</v>
      </c>
      <c r="AQ14" s="11" t="s">
        <v>63</v>
      </c>
      <c r="AR14" s="11" t="s">
        <v>63</v>
      </c>
      <c r="AS14" s="17" t="s">
        <v>315</v>
      </c>
      <c r="AT14" s="11" t="s">
        <v>316</v>
      </c>
      <c r="AU14" s="26" t="s">
        <v>317</v>
      </c>
      <c r="AV14" s="18" t="s">
        <v>83</v>
      </c>
      <c r="AW14" s="11" t="s">
        <v>84</v>
      </c>
      <c r="AX14" s="18" t="s">
        <v>280</v>
      </c>
      <c r="AY14" s="19" t="s">
        <v>281</v>
      </c>
      <c r="AZ14" s="20"/>
      <c r="BA14" s="24"/>
      <c r="BB14" s="24"/>
      <c r="BC14" s="24"/>
      <c r="BD14" s="24"/>
      <c r="BE14" s="24"/>
      <c r="BF14" s="24"/>
      <c r="BG14" s="24"/>
      <c r="BH14" s="24"/>
      <c r="BI14" s="24"/>
      <c r="BJ14" s="24"/>
      <c r="BK14" s="24"/>
      <c r="BL14" s="24"/>
    </row>
    <row r="15" ht="15.75" customHeight="1">
      <c r="A15" s="10" t="s">
        <v>318</v>
      </c>
      <c r="B15" s="11" t="s">
        <v>319</v>
      </c>
      <c r="C15" s="11" t="s">
        <v>320</v>
      </c>
      <c r="D15" s="11">
        <v>2024.0</v>
      </c>
      <c r="E15" s="11" t="s">
        <v>321</v>
      </c>
      <c r="F15" s="13" t="s">
        <v>322</v>
      </c>
      <c r="G15" s="11" t="s">
        <v>323</v>
      </c>
      <c r="H15" s="14" t="s">
        <v>324</v>
      </c>
      <c r="I15" s="14" t="s">
        <v>325</v>
      </c>
      <c r="J15" s="14" t="s">
        <v>326</v>
      </c>
      <c r="K15" s="14" t="s">
        <v>162</v>
      </c>
      <c r="L15" s="14" t="s">
        <v>61</v>
      </c>
      <c r="M15" s="14" t="s">
        <v>62</v>
      </c>
      <c r="N15" s="11">
        <v>20.0</v>
      </c>
      <c r="O15" s="11">
        <v>3.0</v>
      </c>
      <c r="P15" s="14" t="s">
        <v>64</v>
      </c>
      <c r="Q15" s="11" t="s">
        <v>327</v>
      </c>
      <c r="R15" s="11" t="s">
        <v>63</v>
      </c>
      <c r="S15" s="14" t="s">
        <v>67</v>
      </c>
      <c r="T15" s="11" t="s">
        <v>212</v>
      </c>
      <c r="U15" s="14" t="s">
        <v>187</v>
      </c>
      <c r="V15" s="11" t="s">
        <v>63</v>
      </c>
      <c r="W15" s="11" t="s">
        <v>328</v>
      </c>
      <c r="X15" s="11" t="s">
        <v>328</v>
      </c>
      <c r="Y15" s="11" t="s">
        <v>75</v>
      </c>
      <c r="Z15" s="11" t="s">
        <v>63</v>
      </c>
      <c r="AA15" s="11" t="s">
        <v>329</v>
      </c>
      <c r="AB15" s="11" t="s">
        <v>330</v>
      </c>
      <c r="AC15" s="11" t="s">
        <v>74</v>
      </c>
      <c r="AD15" s="14" t="s">
        <v>83</v>
      </c>
      <c r="AE15" s="11" t="s">
        <v>76</v>
      </c>
      <c r="AF15" s="11" t="s">
        <v>331</v>
      </c>
      <c r="AG15" s="11" t="s">
        <v>332</v>
      </c>
      <c r="AH15" s="11" t="s">
        <v>63</v>
      </c>
      <c r="AI15" s="11" t="s">
        <v>333</v>
      </c>
      <c r="AJ15" s="11" t="s">
        <v>334</v>
      </c>
      <c r="AK15" s="11">
        <v>4096.0</v>
      </c>
      <c r="AL15" s="11">
        <v>320.0</v>
      </c>
      <c r="AM15" s="11" t="s">
        <v>335</v>
      </c>
      <c r="AN15" s="15" t="s">
        <v>78</v>
      </c>
      <c r="AO15" s="11" t="s">
        <v>336</v>
      </c>
      <c r="AP15" s="11" t="s">
        <v>83</v>
      </c>
      <c r="AQ15" s="11" t="s">
        <v>75</v>
      </c>
      <c r="AR15" s="11" t="s">
        <v>63</v>
      </c>
      <c r="AS15" s="17" t="s">
        <v>337</v>
      </c>
      <c r="AT15" s="11" t="s">
        <v>338</v>
      </c>
      <c r="AU15" s="18" t="s">
        <v>339</v>
      </c>
      <c r="AV15" s="18" t="s">
        <v>83</v>
      </c>
      <c r="AW15" s="11" t="s">
        <v>84</v>
      </c>
      <c r="AX15" s="18" t="s">
        <v>340</v>
      </c>
      <c r="AY15" s="19" t="s">
        <v>86</v>
      </c>
      <c r="AZ15" s="20"/>
      <c r="BA15" s="27"/>
      <c r="BB15" s="9"/>
      <c r="BC15" s="24"/>
      <c r="BD15" s="24"/>
      <c r="BE15" s="24"/>
      <c r="BF15" s="24"/>
      <c r="BG15" s="24"/>
      <c r="BH15" s="24"/>
      <c r="BI15" s="24"/>
      <c r="BJ15" s="24"/>
      <c r="BK15" s="24"/>
      <c r="BL15" s="24"/>
    </row>
    <row r="16" ht="15.75" customHeight="1">
      <c r="A16" s="10" t="s">
        <v>341</v>
      </c>
      <c r="B16" s="11" t="s">
        <v>342</v>
      </c>
      <c r="C16" s="11" t="s">
        <v>343</v>
      </c>
      <c r="D16" s="11">
        <v>2020.0</v>
      </c>
      <c r="E16" s="11" t="s">
        <v>344</v>
      </c>
      <c r="F16" s="13" t="s">
        <v>345</v>
      </c>
      <c r="G16" s="11" t="s">
        <v>346</v>
      </c>
      <c r="H16" s="14" t="s">
        <v>324</v>
      </c>
      <c r="I16" s="14" t="s">
        <v>325</v>
      </c>
      <c r="J16" s="14" t="s">
        <v>326</v>
      </c>
      <c r="K16" s="14" t="s">
        <v>347</v>
      </c>
      <c r="L16" s="14" t="s">
        <v>61</v>
      </c>
      <c r="M16" s="14" t="s">
        <v>62</v>
      </c>
      <c r="N16" s="11">
        <v>52.0</v>
      </c>
      <c r="O16" s="11">
        <v>2.0</v>
      </c>
      <c r="P16" s="14" t="s">
        <v>64</v>
      </c>
      <c r="Q16" s="11" t="s">
        <v>348</v>
      </c>
      <c r="R16" s="11" t="s">
        <v>349</v>
      </c>
      <c r="S16" s="28" t="s">
        <v>67</v>
      </c>
      <c r="T16" s="11" t="s">
        <v>350</v>
      </c>
      <c r="U16" s="14" t="s">
        <v>69</v>
      </c>
      <c r="V16" s="11" t="s">
        <v>351</v>
      </c>
      <c r="W16" s="11" t="s">
        <v>63</v>
      </c>
      <c r="X16" s="11" t="s">
        <v>63</v>
      </c>
      <c r="Y16" s="11" t="s">
        <v>63</v>
      </c>
      <c r="Z16" s="11" t="s">
        <v>63</v>
      </c>
      <c r="AA16" s="11" t="s">
        <v>352</v>
      </c>
      <c r="AB16" s="11" t="s">
        <v>353</v>
      </c>
      <c r="AC16" s="11" t="s">
        <v>74</v>
      </c>
      <c r="AD16" s="14" t="s">
        <v>75</v>
      </c>
      <c r="AE16" s="11" t="s">
        <v>76</v>
      </c>
      <c r="AF16" s="11" t="s">
        <v>354</v>
      </c>
      <c r="AG16" s="11" t="s">
        <v>355</v>
      </c>
      <c r="AH16" s="11" t="s">
        <v>356</v>
      </c>
      <c r="AI16" s="11" t="s">
        <v>357</v>
      </c>
      <c r="AJ16" s="11" t="s">
        <v>63</v>
      </c>
      <c r="AK16" s="11">
        <v>128.0</v>
      </c>
      <c r="AL16" s="11">
        <v>28.0</v>
      </c>
      <c r="AM16" s="11" t="s">
        <v>63</v>
      </c>
      <c r="AN16" s="14" t="s">
        <v>106</v>
      </c>
      <c r="AO16" s="11" t="s">
        <v>358</v>
      </c>
      <c r="AP16" s="11" t="s">
        <v>83</v>
      </c>
      <c r="AQ16" s="11" t="s">
        <v>75</v>
      </c>
      <c r="AR16" s="11" t="s">
        <v>63</v>
      </c>
      <c r="AS16" s="17" t="s">
        <v>359</v>
      </c>
      <c r="AT16" s="11" t="s">
        <v>360</v>
      </c>
      <c r="AU16" s="18" t="s">
        <v>361</v>
      </c>
      <c r="AV16" s="18" t="s">
        <v>83</v>
      </c>
      <c r="AW16" s="11" t="s">
        <v>84</v>
      </c>
      <c r="AX16" s="18" t="s">
        <v>340</v>
      </c>
      <c r="AY16" s="19" t="s">
        <v>86</v>
      </c>
      <c r="AZ16" s="20"/>
      <c r="BA16" s="24"/>
      <c r="BB16" s="24"/>
      <c r="BC16" s="24"/>
      <c r="BD16" s="24"/>
      <c r="BE16" s="24"/>
      <c r="BF16" s="24"/>
      <c r="BG16" s="24"/>
      <c r="BH16" s="24"/>
      <c r="BI16" s="24"/>
      <c r="BJ16" s="24"/>
      <c r="BK16" s="24"/>
      <c r="BL16" s="24"/>
    </row>
    <row r="17" ht="15.75" customHeight="1">
      <c r="A17" s="10" t="s">
        <v>362</v>
      </c>
      <c r="B17" s="11" t="s">
        <v>363</v>
      </c>
      <c r="C17" s="11" t="s">
        <v>364</v>
      </c>
      <c r="D17" s="11">
        <v>2024.0</v>
      </c>
      <c r="E17" s="11" t="s">
        <v>365</v>
      </c>
      <c r="F17" s="13" t="s">
        <v>366</v>
      </c>
      <c r="G17" s="11" t="s">
        <v>367</v>
      </c>
      <c r="H17" s="14" t="s">
        <v>324</v>
      </c>
      <c r="I17" s="14" t="s">
        <v>325</v>
      </c>
      <c r="J17" s="14" t="s">
        <v>326</v>
      </c>
      <c r="K17" s="14" t="s">
        <v>162</v>
      </c>
      <c r="L17" s="14" t="s">
        <v>61</v>
      </c>
      <c r="M17" s="14" t="s">
        <v>62</v>
      </c>
      <c r="N17" s="11" t="s">
        <v>368</v>
      </c>
      <c r="O17" s="11" t="s">
        <v>369</v>
      </c>
      <c r="P17" s="14" t="s">
        <v>64</v>
      </c>
      <c r="Q17" s="11" t="s">
        <v>370</v>
      </c>
      <c r="R17" s="11" t="s">
        <v>63</v>
      </c>
      <c r="S17" s="14" t="s">
        <v>228</v>
      </c>
      <c r="T17" s="11" t="s">
        <v>371</v>
      </c>
      <c r="U17" s="14" t="s">
        <v>187</v>
      </c>
      <c r="V17" s="11" t="s">
        <v>372</v>
      </c>
      <c r="W17" s="11" t="s">
        <v>63</v>
      </c>
      <c r="X17" s="11" t="s">
        <v>63</v>
      </c>
      <c r="Y17" s="11" t="s">
        <v>63</v>
      </c>
      <c r="Z17" s="11" t="s">
        <v>63</v>
      </c>
      <c r="AA17" s="11" t="s">
        <v>373</v>
      </c>
      <c r="AB17" s="11" t="s">
        <v>374</v>
      </c>
      <c r="AC17" s="11" t="s">
        <v>74</v>
      </c>
      <c r="AD17" s="14" t="s">
        <v>75</v>
      </c>
      <c r="AE17" s="11" t="s">
        <v>375</v>
      </c>
      <c r="AF17" s="11" t="s">
        <v>376</v>
      </c>
      <c r="AG17" s="11" t="s">
        <v>377</v>
      </c>
      <c r="AH17" s="11" t="s">
        <v>378</v>
      </c>
      <c r="AI17" s="11" t="s">
        <v>379</v>
      </c>
      <c r="AJ17" s="11" t="s">
        <v>63</v>
      </c>
      <c r="AK17" s="11" t="s">
        <v>63</v>
      </c>
      <c r="AL17" s="11">
        <v>320.0</v>
      </c>
      <c r="AM17" s="11" t="s">
        <v>380</v>
      </c>
      <c r="AN17" s="14" t="s">
        <v>78</v>
      </c>
      <c r="AO17" s="11" t="s">
        <v>381</v>
      </c>
      <c r="AP17" s="11" t="s">
        <v>83</v>
      </c>
      <c r="AQ17" s="11" t="s">
        <v>63</v>
      </c>
      <c r="AR17" s="11" t="s">
        <v>63</v>
      </c>
      <c r="AS17" s="17" t="s">
        <v>382</v>
      </c>
      <c r="AT17" s="11" t="s">
        <v>383</v>
      </c>
      <c r="AU17" s="18" t="s">
        <v>384</v>
      </c>
      <c r="AV17" s="18" t="s">
        <v>83</v>
      </c>
      <c r="AW17" s="11" t="s">
        <v>84</v>
      </c>
      <c r="AX17" s="18" t="s">
        <v>340</v>
      </c>
      <c r="AY17" s="19" t="s">
        <v>86</v>
      </c>
      <c r="AZ17" s="20"/>
      <c r="BA17" s="24"/>
      <c r="BB17" s="24"/>
      <c r="BC17" s="24"/>
      <c r="BD17" s="24"/>
      <c r="BE17" s="24"/>
      <c r="BF17" s="24"/>
      <c r="BG17" s="24"/>
      <c r="BH17" s="24"/>
      <c r="BI17" s="24"/>
      <c r="BJ17" s="24"/>
      <c r="BK17" s="24"/>
      <c r="BL17" s="24"/>
    </row>
    <row r="18" ht="15.75" customHeight="1">
      <c r="A18" s="10" t="s">
        <v>385</v>
      </c>
      <c r="B18" s="11" t="s">
        <v>386</v>
      </c>
      <c r="C18" s="11" t="s">
        <v>387</v>
      </c>
      <c r="D18" s="11">
        <v>2025.0</v>
      </c>
      <c r="E18" s="11" t="s">
        <v>365</v>
      </c>
      <c r="F18" s="13" t="s">
        <v>388</v>
      </c>
      <c r="G18" s="11" t="s">
        <v>389</v>
      </c>
      <c r="H18" s="14" t="s">
        <v>324</v>
      </c>
      <c r="I18" s="14" t="s">
        <v>325</v>
      </c>
      <c r="J18" s="14" t="s">
        <v>326</v>
      </c>
      <c r="K18" s="14" t="s">
        <v>347</v>
      </c>
      <c r="L18" s="14" t="s">
        <v>61</v>
      </c>
      <c r="M18" s="14" t="s">
        <v>62</v>
      </c>
      <c r="N18" s="11" t="s">
        <v>390</v>
      </c>
      <c r="O18" s="11" t="s">
        <v>391</v>
      </c>
      <c r="P18" s="14" t="s">
        <v>64</v>
      </c>
      <c r="Q18" s="11" t="s">
        <v>392</v>
      </c>
      <c r="R18" s="11" t="s">
        <v>393</v>
      </c>
      <c r="S18" s="14" t="s">
        <v>228</v>
      </c>
      <c r="T18" s="11" t="s">
        <v>394</v>
      </c>
      <c r="U18" s="14" t="s">
        <v>69</v>
      </c>
      <c r="V18" s="11" t="s">
        <v>395</v>
      </c>
      <c r="W18" s="11" t="s">
        <v>396</v>
      </c>
      <c r="X18" s="11" t="s">
        <v>75</v>
      </c>
      <c r="Y18" s="11" t="s">
        <v>75</v>
      </c>
      <c r="Z18" s="11" t="s">
        <v>75</v>
      </c>
      <c r="AA18" s="11" t="s">
        <v>397</v>
      </c>
      <c r="AB18" s="11" t="s">
        <v>398</v>
      </c>
      <c r="AC18" s="11" t="s">
        <v>74</v>
      </c>
      <c r="AD18" s="14" t="s">
        <v>75</v>
      </c>
      <c r="AE18" s="11" t="s">
        <v>375</v>
      </c>
      <c r="AF18" s="11" t="s">
        <v>399</v>
      </c>
      <c r="AG18" s="11" t="s">
        <v>400</v>
      </c>
      <c r="AH18" s="11" t="s">
        <v>63</v>
      </c>
      <c r="AI18" s="11" t="s">
        <v>63</v>
      </c>
      <c r="AJ18" s="11" t="s">
        <v>63</v>
      </c>
      <c r="AK18" s="11">
        <v>512.0</v>
      </c>
      <c r="AL18" s="11">
        <v>128.0</v>
      </c>
      <c r="AM18" s="11" t="s">
        <v>401</v>
      </c>
      <c r="AN18" s="14" t="s">
        <v>78</v>
      </c>
      <c r="AO18" s="11" t="s">
        <v>402</v>
      </c>
      <c r="AP18" s="11" t="s">
        <v>83</v>
      </c>
      <c r="AQ18" s="11" t="s">
        <v>63</v>
      </c>
      <c r="AR18" s="11" t="s">
        <v>63</v>
      </c>
      <c r="AS18" s="17" t="s">
        <v>403</v>
      </c>
      <c r="AT18" s="11" t="s">
        <v>404</v>
      </c>
      <c r="AU18" s="18" t="s">
        <v>405</v>
      </c>
      <c r="AV18" s="18" t="s">
        <v>83</v>
      </c>
      <c r="AW18" s="11" t="s">
        <v>84</v>
      </c>
      <c r="AX18" s="18" t="s">
        <v>340</v>
      </c>
      <c r="AY18" s="19" t="s">
        <v>86</v>
      </c>
      <c r="AZ18" s="20"/>
      <c r="BA18" s="24"/>
      <c r="BB18" s="24"/>
      <c r="BC18" s="24"/>
      <c r="BD18" s="24"/>
      <c r="BE18" s="24"/>
      <c r="BF18" s="24"/>
      <c r="BG18" s="24"/>
      <c r="BH18" s="24"/>
      <c r="BI18" s="24"/>
      <c r="BJ18" s="24"/>
      <c r="BK18" s="24"/>
      <c r="BL18" s="24"/>
    </row>
    <row r="19" ht="15.75" customHeight="1">
      <c r="A19" s="10" t="s">
        <v>406</v>
      </c>
      <c r="B19" s="11" t="s">
        <v>407</v>
      </c>
      <c r="C19" s="11" t="s">
        <v>408</v>
      </c>
      <c r="D19" s="11">
        <v>2023.0</v>
      </c>
      <c r="E19" s="11" t="s">
        <v>409</v>
      </c>
      <c r="F19" s="13" t="s">
        <v>410</v>
      </c>
      <c r="G19" s="11" t="s">
        <v>411</v>
      </c>
      <c r="H19" s="14" t="s">
        <v>324</v>
      </c>
      <c r="I19" s="14" t="s">
        <v>325</v>
      </c>
      <c r="J19" s="14" t="s">
        <v>326</v>
      </c>
      <c r="K19" s="14" t="s">
        <v>347</v>
      </c>
      <c r="L19" s="14" t="s">
        <v>61</v>
      </c>
      <c r="M19" s="14" t="s">
        <v>62</v>
      </c>
      <c r="N19" s="11" t="s">
        <v>412</v>
      </c>
      <c r="O19" s="11" t="s">
        <v>413</v>
      </c>
      <c r="P19" s="14" t="s">
        <v>64</v>
      </c>
      <c r="Q19" s="11" t="s">
        <v>414</v>
      </c>
      <c r="R19" s="11" t="s">
        <v>63</v>
      </c>
      <c r="S19" s="28" t="s">
        <v>67</v>
      </c>
      <c r="T19" s="11" t="s">
        <v>415</v>
      </c>
      <c r="U19" s="14" t="s">
        <v>69</v>
      </c>
      <c r="V19" s="11" t="s">
        <v>63</v>
      </c>
      <c r="W19" s="11" t="s">
        <v>416</v>
      </c>
      <c r="X19" s="11" t="s">
        <v>75</v>
      </c>
      <c r="Y19" s="11" t="s">
        <v>75</v>
      </c>
      <c r="Z19" s="11" t="s">
        <v>75</v>
      </c>
      <c r="AA19" s="11" t="s">
        <v>417</v>
      </c>
      <c r="AB19" s="11" t="s">
        <v>417</v>
      </c>
      <c r="AC19" s="11" t="s">
        <v>74</v>
      </c>
      <c r="AD19" s="14" t="s">
        <v>75</v>
      </c>
      <c r="AE19" s="11" t="s">
        <v>418</v>
      </c>
      <c r="AF19" s="11" t="s">
        <v>419</v>
      </c>
      <c r="AG19" s="11" t="s">
        <v>420</v>
      </c>
      <c r="AH19" s="11" t="s">
        <v>421</v>
      </c>
      <c r="AI19" s="11" t="s">
        <v>422</v>
      </c>
      <c r="AJ19" s="11" t="s">
        <v>63</v>
      </c>
      <c r="AK19" s="11" t="s">
        <v>423</v>
      </c>
      <c r="AL19" s="11" t="s">
        <v>424</v>
      </c>
      <c r="AM19" s="11" t="s">
        <v>425</v>
      </c>
      <c r="AN19" s="14" t="s">
        <v>78</v>
      </c>
      <c r="AO19" s="11" t="s">
        <v>426</v>
      </c>
      <c r="AP19" s="11" t="s">
        <v>83</v>
      </c>
      <c r="AQ19" s="11" t="s">
        <v>63</v>
      </c>
      <c r="AR19" s="11" t="s">
        <v>63</v>
      </c>
      <c r="AS19" s="17" t="s">
        <v>427</v>
      </c>
      <c r="AT19" s="11" t="s">
        <v>428</v>
      </c>
      <c r="AU19" s="18" t="s">
        <v>429</v>
      </c>
      <c r="AV19" s="18" t="s">
        <v>83</v>
      </c>
      <c r="AW19" s="11" t="s">
        <v>84</v>
      </c>
      <c r="AX19" s="18" t="s">
        <v>340</v>
      </c>
      <c r="AY19" s="19" t="s">
        <v>86</v>
      </c>
      <c r="AZ19" s="20"/>
      <c r="BA19" s="24"/>
      <c r="BB19" s="24"/>
      <c r="BC19" s="24"/>
      <c r="BD19" s="24"/>
      <c r="BE19" s="24"/>
      <c r="BF19" s="24"/>
      <c r="BG19" s="24"/>
      <c r="BH19" s="24"/>
      <c r="BI19" s="24"/>
      <c r="BJ19" s="24"/>
      <c r="BK19" s="24"/>
      <c r="BL19" s="24"/>
    </row>
    <row r="20" ht="15.75" customHeight="1">
      <c r="A20" s="10" t="s">
        <v>430</v>
      </c>
      <c r="B20" s="11" t="s">
        <v>431</v>
      </c>
      <c r="C20" s="11" t="s">
        <v>432</v>
      </c>
      <c r="D20" s="11">
        <v>2025.0</v>
      </c>
      <c r="E20" s="11" t="s">
        <v>433</v>
      </c>
      <c r="F20" s="13" t="s">
        <v>434</v>
      </c>
      <c r="G20" s="11" t="s">
        <v>435</v>
      </c>
      <c r="H20" s="14" t="s">
        <v>324</v>
      </c>
      <c r="I20" s="14" t="s">
        <v>325</v>
      </c>
      <c r="J20" s="14" t="s">
        <v>326</v>
      </c>
      <c r="K20" s="14" t="s">
        <v>162</v>
      </c>
      <c r="L20" s="14" t="s">
        <v>61</v>
      </c>
      <c r="M20" s="14" t="s">
        <v>62</v>
      </c>
      <c r="N20" s="11" t="s">
        <v>436</v>
      </c>
      <c r="O20" s="11" t="s">
        <v>437</v>
      </c>
      <c r="P20" s="14" t="s">
        <v>64</v>
      </c>
      <c r="Q20" s="11" t="s">
        <v>438</v>
      </c>
      <c r="R20" s="11" t="s">
        <v>63</v>
      </c>
      <c r="S20" s="14" t="s">
        <v>228</v>
      </c>
      <c r="T20" s="11" t="s">
        <v>439</v>
      </c>
      <c r="U20" s="14" t="s">
        <v>187</v>
      </c>
      <c r="V20" s="11" t="s">
        <v>440</v>
      </c>
      <c r="W20" s="11" t="s">
        <v>75</v>
      </c>
      <c r="X20" s="11" t="s">
        <v>75</v>
      </c>
      <c r="Y20" s="11" t="s">
        <v>75</v>
      </c>
      <c r="Z20" s="11" t="s">
        <v>75</v>
      </c>
      <c r="AA20" s="11" t="s">
        <v>441</v>
      </c>
      <c r="AB20" s="11" t="s">
        <v>441</v>
      </c>
      <c r="AC20" s="11" t="s">
        <v>74</v>
      </c>
      <c r="AD20" s="14" t="s">
        <v>75</v>
      </c>
      <c r="AE20" s="11" t="s">
        <v>76</v>
      </c>
      <c r="AF20" s="11" t="s">
        <v>442</v>
      </c>
      <c r="AG20" s="11" t="s">
        <v>443</v>
      </c>
      <c r="AH20" s="11" t="s">
        <v>63</v>
      </c>
      <c r="AI20" s="11" t="s">
        <v>63</v>
      </c>
      <c r="AJ20" s="11" t="s">
        <v>63</v>
      </c>
      <c r="AK20" s="11" t="s">
        <v>444</v>
      </c>
      <c r="AL20" s="11" t="s">
        <v>445</v>
      </c>
      <c r="AM20" s="11" t="s">
        <v>446</v>
      </c>
      <c r="AN20" s="14" t="s">
        <v>78</v>
      </c>
      <c r="AO20" s="11" t="s">
        <v>447</v>
      </c>
      <c r="AP20" s="11" t="s">
        <v>83</v>
      </c>
      <c r="AQ20" s="11" t="s">
        <v>63</v>
      </c>
      <c r="AR20" s="11" t="s">
        <v>63</v>
      </c>
      <c r="AS20" s="17" t="s">
        <v>448</v>
      </c>
      <c r="AT20" s="11" t="s">
        <v>449</v>
      </c>
      <c r="AU20" s="18" t="s">
        <v>450</v>
      </c>
      <c r="AV20" s="18" t="s">
        <v>83</v>
      </c>
      <c r="AW20" s="11" t="s">
        <v>84</v>
      </c>
      <c r="AX20" s="18" t="s">
        <v>340</v>
      </c>
      <c r="AY20" s="19" t="s">
        <v>86</v>
      </c>
      <c r="AZ20" s="20"/>
      <c r="BA20" s="24"/>
      <c r="BB20" s="24"/>
      <c r="BC20" s="24"/>
      <c r="BD20" s="24"/>
      <c r="BE20" s="24"/>
      <c r="BF20" s="24"/>
      <c r="BG20" s="24"/>
      <c r="BH20" s="24"/>
      <c r="BI20" s="24"/>
      <c r="BJ20" s="24"/>
      <c r="BK20" s="24"/>
      <c r="BL20" s="24"/>
    </row>
    <row r="21" ht="15.75" customHeight="1">
      <c r="A21" s="10" t="s">
        <v>451</v>
      </c>
      <c r="B21" s="11" t="s">
        <v>452</v>
      </c>
      <c r="C21" s="11" t="s">
        <v>453</v>
      </c>
      <c r="D21" s="11">
        <v>2025.0</v>
      </c>
      <c r="E21" s="11" t="s">
        <v>454</v>
      </c>
      <c r="F21" s="13" t="s">
        <v>455</v>
      </c>
      <c r="G21" s="11" t="s">
        <v>456</v>
      </c>
      <c r="H21" s="14" t="s">
        <v>160</v>
      </c>
      <c r="I21" s="14" t="s">
        <v>183</v>
      </c>
      <c r="J21" s="14" t="s">
        <v>326</v>
      </c>
      <c r="K21" s="14" t="s">
        <v>347</v>
      </c>
      <c r="L21" s="14" t="s">
        <v>457</v>
      </c>
      <c r="M21" s="14" t="s">
        <v>458</v>
      </c>
      <c r="N21" s="11" t="s">
        <v>459</v>
      </c>
      <c r="O21" s="11" t="s">
        <v>63</v>
      </c>
      <c r="P21" s="14" t="s">
        <v>64</v>
      </c>
      <c r="Q21" s="11" t="s">
        <v>460</v>
      </c>
      <c r="R21" s="11" t="s">
        <v>63</v>
      </c>
      <c r="S21" s="14" t="s">
        <v>228</v>
      </c>
      <c r="T21" s="11" t="s">
        <v>461</v>
      </c>
      <c r="U21" s="14" t="s">
        <v>187</v>
      </c>
      <c r="V21" s="11" t="s">
        <v>462</v>
      </c>
      <c r="W21" s="11" t="s">
        <v>463</v>
      </c>
      <c r="X21" s="11" t="s">
        <v>464</v>
      </c>
      <c r="Y21" s="11" t="s">
        <v>465</v>
      </c>
      <c r="Z21" s="11" t="s">
        <v>63</v>
      </c>
      <c r="AA21" s="11" t="s">
        <v>466</v>
      </c>
      <c r="AB21" s="11" t="s">
        <v>466</v>
      </c>
      <c r="AC21" s="11" t="s">
        <v>74</v>
      </c>
      <c r="AD21" s="14" t="s">
        <v>75</v>
      </c>
      <c r="AE21" s="11" t="s">
        <v>76</v>
      </c>
      <c r="AF21" s="11" t="s">
        <v>467</v>
      </c>
      <c r="AG21" s="11" t="s">
        <v>468</v>
      </c>
      <c r="AH21" s="11" t="s">
        <v>63</v>
      </c>
      <c r="AI21" s="11" t="s">
        <v>63</v>
      </c>
      <c r="AJ21" s="11" t="s">
        <v>63</v>
      </c>
      <c r="AK21" s="11" t="s">
        <v>63</v>
      </c>
      <c r="AL21" s="11" t="s">
        <v>469</v>
      </c>
      <c r="AM21" s="11" t="s">
        <v>63</v>
      </c>
      <c r="AN21" s="14" t="s">
        <v>78</v>
      </c>
      <c r="AO21" s="11" t="s">
        <v>470</v>
      </c>
      <c r="AP21" s="11" t="s">
        <v>83</v>
      </c>
      <c r="AQ21" s="11" t="s">
        <v>63</v>
      </c>
      <c r="AR21" s="11" t="s">
        <v>63</v>
      </c>
      <c r="AS21" s="17" t="s">
        <v>471</v>
      </c>
      <c r="AT21" s="11" t="s">
        <v>472</v>
      </c>
      <c r="AU21" s="18" t="s">
        <v>473</v>
      </c>
      <c r="AV21" s="18" t="s">
        <v>83</v>
      </c>
      <c r="AW21" s="11" t="s">
        <v>84</v>
      </c>
      <c r="AX21" s="18" t="s">
        <v>340</v>
      </c>
      <c r="AY21" s="19" t="s">
        <v>86</v>
      </c>
      <c r="AZ21" s="20"/>
      <c r="BA21" s="24"/>
      <c r="BB21" s="24"/>
      <c r="BC21" s="24"/>
      <c r="BD21" s="24"/>
      <c r="BE21" s="24"/>
      <c r="BF21" s="24"/>
      <c r="BG21" s="24"/>
      <c r="BH21" s="24"/>
      <c r="BI21" s="24"/>
      <c r="BJ21" s="24"/>
      <c r="BK21" s="24"/>
      <c r="BL21" s="24"/>
    </row>
    <row r="22" ht="15.75" customHeight="1">
      <c r="A22" s="10" t="s">
        <v>474</v>
      </c>
      <c r="B22" s="11" t="s">
        <v>475</v>
      </c>
      <c r="C22" s="11" t="s">
        <v>476</v>
      </c>
      <c r="D22" s="11">
        <v>2025.0</v>
      </c>
      <c r="E22" s="18" t="s">
        <v>477</v>
      </c>
      <c r="F22" s="13" t="s">
        <v>478</v>
      </c>
      <c r="G22" s="11" t="s">
        <v>479</v>
      </c>
      <c r="H22" s="14" t="s">
        <v>480</v>
      </c>
      <c r="I22" s="14" t="s">
        <v>142</v>
      </c>
      <c r="J22" s="14" t="s">
        <v>481</v>
      </c>
      <c r="K22" s="14" t="s">
        <v>482</v>
      </c>
      <c r="L22" s="14" t="s">
        <v>63</v>
      </c>
      <c r="M22" s="14" t="s">
        <v>63</v>
      </c>
      <c r="N22" s="11"/>
      <c r="O22" s="11"/>
      <c r="P22" s="14" t="s">
        <v>64</v>
      </c>
      <c r="Q22" s="11" t="s">
        <v>483</v>
      </c>
      <c r="R22" s="11" t="s">
        <v>484</v>
      </c>
      <c r="S22" s="14" t="s">
        <v>97</v>
      </c>
      <c r="T22" s="11" t="s">
        <v>485</v>
      </c>
      <c r="U22" s="14" t="s">
        <v>69</v>
      </c>
      <c r="V22" s="11" t="s">
        <v>486</v>
      </c>
      <c r="W22" s="11" t="s">
        <v>485</v>
      </c>
      <c r="X22" s="11" t="s">
        <v>485</v>
      </c>
      <c r="Y22" s="11" t="s">
        <v>485</v>
      </c>
      <c r="Z22" s="11" t="s">
        <v>485</v>
      </c>
      <c r="AA22" s="11" t="s">
        <v>485</v>
      </c>
      <c r="AB22" s="11" t="s">
        <v>487</v>
      </c>
      <c r="AC22" s="11" t="s">
        <v>485</v>
      </c>
      <c r="AD22" s="14" t="s">
        <v>75</v>
      </c>
      <c r="AE22" s="11" t="s">
        <v>488</v>
      </c>
      <c r="AF22" s="11" t="s">
        <v>489</v>
      </c>
      <c r="AG22" s="11" t="s">
        <v>490</v>
      </c>
      <c r="AH22" s="11" t="s">
        <v>491</v>
      </c>
      <c r="AI22" s="11" t="s">
        <v>492</v>
      </c>
      <c r="AJ22" s="18" t="s">
        <v>63</v>
      </c>
      <c r="AK22" s="18" t="s">
        <v>63</v>
      </c>
      <c r="AL22" s="11" t="s">
        <v>493</v>
      </c>
      <c r="AM22" s="18" t="s">
        <v>63</v>
      </c>
      <c r="AN22" s="15" t="s">
        <v>235</v>
      </c>
      <c r="AO22" s="18" t="s">
        <v>63</v>
      </c>
      <c r="AP22" s="11" t="s">
        <v>494</v>
      </c>
      <c r="AQ22" s="18" t="s">
        <v>63</v>
      </c>
      <c r="AR22" s="11" t="s">
        <v>63</v>
      </c>
      <c r="AS22" s="29" t="s">
        <v>495</v>
      </c>
      <c r="AT22" s="11" t="s">
        <v>496</v>
      </c>
      <c r="AU22" s="18" t="s">
        <v>497</v>
      </c>
      <c r="AV22" s="18" t="s">
        <v>83</v>
      </c>
      <c r="AW22" s="11" t="s">
        <v>84</v>
      </c>
      <c r="AX22" s="18" t="s">
        <v>498</v>
      </c>
      <c r="AY22" s="19" t="s">
        <v>86</v>
      </c>
      <c r="AZ22" s="20"/>
      <c r="BA22" s="24"/>
      <c r="BB22" s="24"/>
      <c r="BC22" s="24"/>
      <c r="BD22" s="24"/>
      <c r="BE22" s="24"/>
      <c r="BF22" s="24"/>
      <c r="BG22" s="24"/>
      <c r="BH22" s="24"/>
      <c r="BI22" s="24"/>
      <c r="BJ22" s="24"/>
      <c r="BK22" s="24"/>
      <c r="BL22" s="24"/>
    </row>
    <row r="23" ht="15.75" customHeight="1">
      <c r="A23" s="10" t="s">
        <v>499</v>
      </c>
      <c r="B23" s="11" t="s">
        <v>500</v>
      </c>
      <c r="C23" s="11" t="s">
        <v>501</v>
      </c>
      <c r="D23" s="11">
        <v>2021.0</v>
      </c>
      <c r="E23" s="11" t="s">
        <v>502</v>
      </c>
      <c r="F23" s="13" t="s">
        <v>503</v>
      </c>
      <c r="G23" s="11" t="s">
        <v>504</v>
      </c>
      <c r="H23" s="14" t="s">
        <v>480</v>
      </c>
      <c r="I23" s="14" t="s">
        <v>505</v>
      </c>
      <c r="J23" s="14" t="s">
        <v>481</v>
      </c>
      <c r="K23" s="14" t="s">
        <v>506</v>
      </c>
      <c r="L23" s="14" t="s">
        <v>63</v>
      </c>
      <c r="M23" s="14" t="s">
        <v>63</v>
      </c>
      <c r="N23" s="11" t="s">
        <v>485</v>
      </c>
      <c r="O23" s="11" t="s">
        <v>485</v>
      </c>
      <c r="P23" s="14" t="s">
        <v>64</v>
      </c>
      <c r="Q23" s="11" t="s">
        <v>507</v>
      </c>
      <c r="R23" s="11" t="s">
        <v>508</v>
      </c>
      <c r="S23" s="14" t="s">
        <v>228</v>
      </c>
      <c r="T23" s="11" t="s">
        <v>509</v>
      </c>
      <c r="U23" s="14" t="s">
        <v>69</v>
      </c>
      <c r="V23" s="11" t="s">
        <v>510</v>
      </c>
      <c r="W23" s="11" t="s">
        <v>511</v>
      </c>
      <c r="X23" s="11" t="s">
        <v>485</v>
      </c>
      <c r="Y23" s="11" t="s">
        <v>485</v>
      </c>
      <c r="Z23" s="11" t="s">
        <v>485</v>
      </c>
      <c r="AA23" s="11" t="s">
        <v>512</v>
      </c>
      <c r="AB23" s="11" t="s">
        <v>513</v>
      </c>
      <c r="AC23" s="11" t="s">
        <v>485</v>
      </c>
      <c r="AD23" s="14" t="s">
        <v>75</v>
      </c>
      <c r="AE23" s="11" t="s">
        <v>514</v>
      </c>
      <c r="AF23" s="11" t="s">
        <v>485</v>
      </c>
      <c r="AG23" s="11" t="s">
        <v>515</v>
      </c>
      <c r="AH23" s="11" t="s">
        <v>516</v>
      </c>
      <c r="AI23" s="11" t="s">
        <v>517</v>
      </c>
      <c r="AJ23" s="11" t="s">
        <v>485</v>
      </c>
      <c r="AK23" s="11" t="s">
        <v>485</v>
      </c>
      <c r="AL23" s="11" t="s">
        <v>485</v>
      </c>
      <c r="AM23" s="11" t="s">
        <v>485</v>
      </c>
      <c r="AN23" s="14" t="s">
        <v>235</v>
      </c>
      <c r="AO23" s="18" t="s">
        <v>63</v>
      </c>
      <c r="AP23" s="18" t="s">
        <v>63</v>
      </c>
      <c r="AQ23" s="18" t="s">
        <v>63</v>
      </c>
      <c r="AR23" s="11" t="s">
        <v>63</v>
      </c>
      <c r="AS23" s="17" t="s">
        <v>501</v>
      </c>
      <c r="AT23" s="18" t="s">
        <v>518</v>
      </c>
      <c r="AU23" s="18" t="s">
        <v>519</v>
      </c>
      <c r="AV23" s="18" t="s">
        <v>83</v>
      </c>
      <c r="AW23" s="11" t="s">
        <v>84</v>
      </c>
      <c r="AX23" s="18" t="s">
        <v>498</v>
      </c>
      <c r="AY23" s="19" t="s">
        <v>86</v>
      </c>
      <c r="AZ23" s="20"/>
      <c r="BA23" s="24"/>
      <c r="BB23" s="24"/>
      <c r="BC23" s="24"/>
      <c r="BD23" s="24"/>
      <c r="BE23" s="24"/>
      <c r="BF23" s="24"/>
      <c r="BG23" s="24"/>
      <c r="BH23" s="24"/>
      <c r="BI23" s="24"/>
      <c r="BJ23" s="24"/>
      <c r="BK23" s="24"/>
      <c r="BL23" s="24"/>
    </row>
    <row r="24" ht="15.75" customHeight="1">
      <c r="A24" s="10" t="s">
        <v>520</v>
      </c>
      <c r="B24" s="11" t="s">
        <v>521</v>
      </c>
      <c r="C24" s="11" t="s">
        <v>522</v>
      </c>
      <c r="D24" s="11">
        <v>2022.0</v>
      </c>
      <c r="E24" s="11" t="s">
        <v>454</v>
      </c>
      <c r="F24" s="13" t="s">
        <v>523</v>
      </c>
      <c r="G24" s="11" t="s">
        <v>524</v>
      </c>
      <c r="H24" s="14" t="s">
        <v>480</v>
      </c>
      <c r="I24" s="14" t="s">
        <v>525</v>
      </c>
      <c r="J24" s="14" t="s">
        <v>526</v>
      </c>
      <c r="K24" s="14" t="s">
        <v>527</v>
      </c>
      <c r="L24" s="14" t="s">
        <v>63</v>
      </c>
      <c r="M24" s="14" t="s">
        <v>458</v>
      </c>
      <c r="N24" s="11">
        <v>2.5E7</v>
      </c>
      <c r="O24" s="11">
        <v>0.512</v>
      </c>
      <c r="P24" s="14" t="s">
        <v>528</v>
      </c>
      <c r="Q24" s="11" t="s">
        <v>529</v>
      </c>
      <c r="R24" s="11" t="s">
        <v>530</v>
      </c>
      <c r="S24" s="14" t="s">
        <v>531</v>
      </c>
      <c r="T24" s="11" t="s">
        <v>532</v>
      </c>
      <c r="U24" s="14" t="s">
        <v>187</v>
      </c>
      <c r="V24" s="11" t="s">
        <v>533</v>
      </c>
      <c r="W24" s="11" t="s">
        <v>534</v>
      </c>
      <c r="X24" s="11" t="s">
        <v>534</v>
      </c>
      <c r="Y24" s="11" t="s">
        <v>534</v>
      </c>
      <c r="Z24" s="11" t="s">
        <v>534</v>
      </c>
      <c r="AA24" s="11" t="s">
        <v>535</v>
      </c>
      <c r="AB24" s="11" t="s">
        <v>536</v>
      </c>
      <c r="AC24" s="11" t="s">
        <v>537</v>
      </c>
      <c r="AD24" s="14" t="s">
        <v>75</v>
      </c>
      <c r="AE24" s="11" t="s">
        <v>538</v>
      </c>
      <c r="AF24" s="11" t="s">
        <v>539</v>
      </c>
      <c r="AG24" s="11" t="s">
        <v>534</v>
      </c>
      <c r="AH24" s="11" t="s">
        <v>534</v>
      </c>
      <c r="AI24" s="11" t="s">
        <v>534</v>
      </c>
      <c r="AJ24" s="11" t="s">
        <v>534</v>
      </c>
      <c r="AK24" s="11" t="s">
        <v>534</v>
      </c>
      <c r="AL24" s="11" t="s">
        <v>534</v>
      </c>
      <c r="AM24" s="11" t="s">
        <v>534</v>
      </c>
      <c r="AN24" s="14" t="s">
        <v>235</v>
      </c>
      <c r="AO24" s="18" t="s">
        <v>63</v>
      </c>
      <c r="AP24" s="18" t="s">
        <v>63</v>
      </c>
      <c r="AQ24" s="18" t="s">
        <v>63</v>
      </c>
      <c r="AR24" s="18" t="s">
        <v>63</v>
      </c>
      <c r="AS24" s="17" t="s">
        <v>540</v>
      </c>
      <c r="AT24" s="18" t="s">
        <v>541</v>
      </c>
      <c r="AU24" s="18" t="s">
        <v>542</v>
      </c>
      <c r="AV24" s="18" t="s">
        <v>83</v>
      </c>
      <c r="AW24" s="11" t="s">
        <v>84</v>
      </c>
      <c r="AX24" s="18" t="s">
        <v>543</v>
      </c>
      <c r="AY24" s="19" t="s">
        <v>544</v>
      </c>
      <c r="AZ24" s="20"/>
      <c r="BA24" s="24"/>
      <c r="BB24" s="24"/>
      <c r="BC24" s="24"/>
      <c r="BD24" s="24"/>
      <c r="BE24" s="24"/>
      <c r="BF24" s="24"/>
      <c r="BG24" s="24"/>
      <c r="BH24" s="24"/>
      <c r="BI24" s="24"/>
      <c r="BJ24" s="24"/>
      <c r="BK24" s="24"/>
      <c r="BL24" s="24"/>
    </row>
    <row r="25" ht="15.75" customHeight="1">
      <c r="A25" s="10" t="s">
        <v>545</v>
      </c>
      <c r="B25" s="11" t="s">
        <v>546</v>
      </c>
      <c r="C25" s="11" t="s">
        <v>547</v>
      </c>
      <c r="D25" s="11">
        <v>2021.0</v>
      </c>
      <c r="E25" s="11" t="s">
        <v>548</v>
      </c>
      <c r="F25" s="13" t="s">
        <v>549</v>
      </c>
      <c r="G25" s="11" t="s">
        <v>550</v>
      </c>
      <c r="H25" s="14" t="s">
        <v>480</v>
      </c>
      <c r="I25" s="14" t="s">
        <v>551</v>
      </c>
      <c r="J25" s="14" t="s">
        <v>552</v>
      </c>
      <c r="K25" s="14" t="s">
        <v>60</v>
      </c>
      <c r="L25" s="14" t="s">
        <v>63</v>
      </c>
      <c r="M25" s="14" t="s">
        <v>553</v>
      </c>
      <c r="N25" s="11" t="s">
        <v>485</v>
      </c>
      <c r="O25" s="11" t="s">
        <v>485</v>
      </c>
      <c r="P25" s="14" t="s">
        <v>528</v>
      </c>
      <c r="Q25" s="11" t="s">
        <v>485</v>
      </c>
      <c r="R25" s="11" t="s">
        <v>530</v>
      </c>
      <c r="S25" s="14" t="s">
        <v>531</v>
      </c>
      <c r="T25" s="11" t="s">
        <v>554</v>
      </c>
      <c r="U25" s="14" t="s">
        <v>63</v>
      </c>
      <c r="V25" s="11" t="s">
        <v>485</v>
      </c>
      <c r="W25" s="11" t="s">
        <v>485</v>
      </c>
      <c r="X25" s="11" t="s">
        <v>485</v>
      </c>
      <c r="Y25" s="11" t="s">
        <v>485</v>
      </c>
      <c r="Z25" s="11" t="s">
        <v>485</v>
      </c>
      <c r="AA25" s="11" t="s">
        <v>555</v>
      </c>
      <c r="AB25" s="11" t="s">
        <v>556</v>
      </c>
      <c r="AC25" s="11">
        <v>3.0</v>
      </c>
      <c r="AD25" s="14" t="s">
        <v>75</v>
      </c>
      <c r="AE25" s="11" t="s">
        <v>557</v>
      </c>
      <c r="AF25" s="11" t="s">
        <v>558</v>
      </c>
      <c r="AG25" s="11" t="s">
        <v>485</v>
      </c>
      <c r="AH25" s="11" t="s">
        <v>559</v>
      </c>
      <c r="AI25" s="11" t="s">
        <v>560</v>
      </c>
      <c r="AJ25" s="11" t="s">
        <v>485</v>
      </c>
      <c r="AK25" s="11" t="s">
        <v>485</v>
      </c>
      <c r="AL25" s="11" t="s">
        <v>485</v>
      </c>
      <c r="AM25" s="11" t="s">
        <v>485</v>
      </c>
      <c r="AN25" s="14" t="s">
        <v>235</v>
      </c>
      <c r="AO25" s="11" t="s">
        <v>485</v>
      </c>
      <c r="AP25" s="11" t="s">
        <v>485</v>
      </c>
      <c r="AQ25" s="11" t="s">
        <v>561</v>
      </c>
      <c r="AR25" s="18" t="s">
        <v>63</v>
      </c>
      <c r="AS25" s="17" t="s">
        <v>562</v>
      </c>
      <c r="AT25" s="18" t="s">
        <v>563</v>
      </c>
      <c r="AU25" s="18" t="s">
        <v>564</v>
      </c>
      <c r="AV25" s="18" t="s">
        <v>83</v>
      </c>
      <c r="AW25" s="11" t="s">
        <v>84</v>
      </c>
      <c r="AX25" s="18" t="s">
        <v>85</v>
      </c>
      <c r="AY25" s="19" t="s">
        <v>565</v>
      </c>
      <c r="AZ25" s="20"/>
      <c r="BA25" s="24"/>
      <c r="BB25" s="24"/>
      <c r="BC25" s="24"/>
      <c r="BD25" s="24"/>
      <c r="BE25" s="24"/>
      <c r="BF25" s="24"/>
      <c r="BG25" s="24"/>
      <c r="BH25" s="24"/>
      <c r="BI25" s="24"/>
      <c r="BJ25" s="24"/>
      <c r="BK25" s="24"/>
      <c r="BL25" s="24"/>
    </row>
    <row r="26" ht="15.75" customHeight="1">
      <c r="A26" s="10" t="s">
        <v>566</v>
      </c>
      <c r="B26" s="11" t="s">
        <v>567</v>
      </c>
      <c r="C26" s="11" t="s">
        <v>568</v>
      </c>
      <c r="D26" s="11">
        <v>2021.0</v>
      </c>
      <c r="E26" s="11" t="s">
        <v>569</v>
      </c>
      <c r="F26" s="30" t="s">
        <v>570</v>
      </c>
      <c r="G26" s="11" t="s">
        <v>571</v>
      </c>
      <c r="H26" s="14" t="s">
        <v>480</v>
      </c>
      <c r="I26" s="14" t="s">
        <v>505</v>
      </c>
      <c r="J26" s="14" t="s">
        <v>481</v>
      </c>
      <c r="K26" s="14" t="s">
        <v>482</v>
      </c>
      <c r="L26" s="14" t="s">
        <v>63</v>
      </c>
      <c r="M26" s="14" t="s">
        <v>553</v>
      </c>
      <c r="N26" s="11" t="s">
        <v>485</v>
      </c>
      <c r="O26" s="11" t="s">
        <v>485</v>
      </c>
      <c r="P26" s="14" t="s">
        <v>64</v>
      </c>
      <c r="Q26" s="11" t="s">
        <v>572</v>
      </c>
      <c r="R26" s="11" t="s">
        <v>530</v>
      </c>
      <c r="S26" s="14" t="s">
        <v>228</v>
      </c>
      <c r="T26" s="11" t="s">
        <v>212</v>
      </c>
      <c r="U26" s="14" t="s">
        <v>272</v>
      </c>
      <c r="V26" s="11" t="s">
        <v>573</v>
      </c>
      <c r="W26" s="11" t="s">
        <v>485</v>
      </c>
      <c r="X26" s="11" t="s">
        <v>485</v>
      </c>
      <c r="Y26" s="11" t="s">
        <v>485</v>
      </c>
      <c r="Z26" s="11" t="s">
        <v>485</v>
      </c>
      <c r="AA26" s="11" t="s">
        <v>574</v>
      </c>
      <c r="AB26" s="11" t="s">
        <v>575</v>
      </c>
      <c r="AC26" s="11" t="s">
        <v>576</v>
      </c>
      <c r="AD26" s="14" t="s">
        <v>75</v>
      </c>
      <c r="AE26" s="11" t="s">
        <v>577</v>
      </c>
      <c r="AF26" s="11" t="s">
        <v>578</v>
      </c>
      <c r="AG26" s="11" t="s">
        <v>579</v>
      </c>
      <c r="AH26" s="11" t="s">
        <v>580</v>
      </c>
      <c r="AI26" s="11" t="s">
        <v>580</v>
      </c>
      <c r="AJ26" s="11" t="s">
        <v>485</v>
      </c>
      <c r="AK26" s="11" t="s">
        <v>581</v>
      </c>
      <c r="AL26" s="11" t="s">
        <v>582</v>
      </c>
      <c r="AM26" s="11" t="s">
        <v>485</v>
      </c>
      <c r="AN26" s="14" t="s">
        <v>235</v>
      </c>
      <c r="AO26" s="18" t="s">
        <v>63</v>
      </c>
      <c r="AP26" s="18" t="s">
        <v>63</v>
      </c>
      <c r="AQ26" s="18" t="s">
        <v>63</v>
      </c>
      <c r="AR26" s="18" t="s">
        <v>63</v>
      </c>
      <c r="AS26" s="17" t="s">
        <v>583</v>
      </c>
      <c r="AT26" s="18" t="s">
        <v>584</v>
      </c>
      <c r="AU26" s="18" t="s">
        <v>585</v>
      </c>
      <c r="AV26" s="18" t="s">
        <v>83</v>
      </c>
      <c r="AW26" s="11" t="s">
        <v>84</v>
      </c>
      <c r="AX26" s="18" t="s">
        <v>498</v>
      </c>
      <c r="AY26" s="19" t="s">
        <v>86</v>
      </c>
      <c r="AZ26" s="20"/>
      <c r="BA26" s="24"/>
      <c r="BB26" s="24"/>
      <c r="BC26" s="24"/>
      <c r="BD26" s="24"/>
      <c r="BE26" s="24"/>
      <c r="BF26" s="24"/>
      <c r="BG26" s="24"/>
      <c r="BH26" s="24"/>
      <c r="BI26" s="24"/>
      <c r="BJ26" s="24"/>
      <c r="BK26" s="24"/>
      <c r="BL26" s="24"/>
    </row>
    <row r="27" ht="15.75" customHeight="1">
      <c r="A27" s="31" t="s">
        <v>586</v>
      </c>
      <c r="B27" s="32" t="s">
        <v>587</v>
      </c>
      <c r="C27" s="32" t="s">
        <v>588</v>
      </c>
      <c r="D27" s="32">
        <v>2026.0</v>
      </c>
      <c r="E27" s="32" t="s">
        <v>589</v>
      </c>
      <c r="F27" s="32" t="s">
        <v>590</v>
      </c>
      <c r="G27" s="32" t="s">
        <v>591</v>
      </c>
      <c r="H27" s="15" t="s">
        <v>480</v>
      </c>
      <c r="I27" s="15" t="s">
        <v>142</v>
      </c>
      <c r="J27" s="15" t="s">
        <v>481</v>
      </c>
      <c r="K27" s="15" t="s">
        <v>592</v>
      </c>
      <c r="L27" s="15" t="s">
        <v>63</v>
      </c>
      <c r="M27" s="15" t="s">
        <v>164</v>
      </c>
      <c r="N27" s="32" t="s">
        <v>485</v>
      </c>
      <c r="O27" s="32" t="s">
        <v>485</v>
      </c>
      <c r="P27" s="15" t="s">
        <v>64</v>
      </c>
      <c r="Q27" s="32" t="s">
        <v>485</v>
      </c>
      <c r="R27" s="32" t="s">
        <v>485</v>
      </c>
      <c r="S27" s="15" t="s">
        <v>228</v>
      </c>
      <c r="T27" s="32" t="s">
        <v>485</v>
      </c>
      <c r="U27" s="15" t="s">
        <v>63</v>
      </c>
      <c r="V27" s="32" t="s">
        <v>485</v>
      </c>
      <c r="W27" s="32" t="s">
        <v>485</v>
      </c>
      <c r="X27" s="32" t="s">
        <v>485</v>
      </c>
      <c r="Y27" s="32" t="s">
        <v>485</v>
      </c>
      <c r="Z27" s="32" t="s">
        <v>485</v>
      </c>
      <c r="AA27" s="32" t="s">
        <v>593</v>
      </c>
      <c r="AB27" s="32" t="s">
        <v>594</v>
      </c>
      <c r="AC27" s="32" t="s">
        <v>595</v>
      </c>
      <c r="AD27" s="15" t="s">
        <v>75</v>
      </c>
      <c r="AE27" s="32" t="s">
        <v>596</v>
      </c>
      <c r="AF27" s="32" t="s">
        <v>597</v>
      </c>
      <c r="AG27" s="32" t="s">
        <v>485</v>
      </c>
      <c r="AH27" s="32" t="s">
        <v>485</v>
      </c>
      <c r="AI27" s="32" t="s">
        <v>485</v>
      </c>
      <c r="AJ27" s="32" t="s">
        <v>485</v>
      </c>
      <c r="AK27" s="32" t="s">
        <v>485</v>
      </c>
      <c r="AL27" s="32" t="s">
        <v>485</v>
      </c>
      <c r="AM27" s="32" t="s">
        <v>485</v>
      </c>
      <c r="AN27" s="15" t="s">
        <v>235</v>
      </c>
      <c r="AO27" s="32" t="s">
        <v>485</v>
      </c>
      <c r="AP27" s="32" t="s">
        <v>485</v>
      </c>
      <c r="AQ27" s="32" t="s">
        <v>63</v>
      </c>
      <c r="AR27" s="32" t="s">
        <v>63</v>
      </c>
      <c r="AS27" s="33" t="s">
        <v>598</v>
      </c>
      <c r="AT27" s="32" t="s">
        <v>599</v>
      </c>
      <c r="AU27" s="32" t="s">
        <v>600</v>
      </c>
      <c r="AV27" s="18" t="s">
        <v>83</v>
      </c>
      <c r="AW27" s="11" t="s">
        <v>84</v>
      </c>
      <c r="AX27" s="18" t="s">
        <v>498</v>
      </c>
      <c r="AY27" s="19" t="s">
        <v>565</v>
      </c>
      <c r="AZ27" s="20"/>
      <c r="BA27" s="24"/>
      <c r="BB27" s="24"/>
      <c r="BC27" s="24"/>
      <c r="BD27" s="24"/>
      <c r="BE27" s="24"/>
      <c r="BF27" s="24"/>
      <c r="BG27" s="24"/>
      <c r="BH27" s="24"/>
      <c r="BI27" s="24"/>
      <c r="BJ27" s="24"/>
      <c r="BK27" s="24"/>
      <c r="BL27" s="24"/>
    </row>
    <row r="28" ht="15.75" customHeight="1">
      <c r="A28" s="10" t="s">
        <v>601</v>
      </c>
      <c r="B28" s="34" t="s">
        <v>602</v>
      </c>
      <c r="C28" s="29" t="s">
        <v>603</v>
      </c>
      <c r="D28" s="11">
        <v>2026.0</v>
      </c>
      <c r="E28" s="11" t="s">
        <v>604</v>
      </c>
      <c r="F28" s="13" t="s">
        <v>605</v>
      </c>
      <c r="G28" s="11" t="s">
        <v>606</v>
      </c>
      <c r="H28" s="14" t="s">
        <v>607</v>
      </c>
      <c r="I28" s="14" t="s">
        <v>183</v>
      </c>
      <c r="J28" s="14" t="s">
        <v>268</v>
      </c>
      <c r="K28" s="14" t="s">
        <v>60</v>
      </c>
      <c r="L28" s="14" t="s">
        <v>94</v>
      </c>
      <c r="M28" s="14" t="s">
        <v>95</v>
      </c>
      <c r="N28" s="11">
        <v>1.0</v>
      </c>
      <c r="O28" s="11">
        <v>1.0</v>
      </c>
      <c r="P28" s="14" t="s">
        <v>64</v>
      </c>
      <c r="Q28" s="11" t="s">
        <v>608</v>
      </c>
      <c r="R28" s="11" t="s">
        <v>63</v>
      </c>
      <c r="S28" s="14" t="s">
        <v>228</v>
      </c>
      <c r="T28" s="11" t="s">
        <v>609</v>
      </c>
      <c r="U28" s="14" t="s">
        <v>69</v>
      </c>
      <c r="V28" s="11" t="s">
        <v>610</v>
      </c>
      <c r="W28" s="11" t="s">
        <v>63</v>
      </c>
      <c r="X28" s="11" t="s">
        <v>63</v>
      </c>
      <c r="Y28" s="11" t="s">
        <v>63</v>
      </c>
      <c r="Z28" s="11" t="s">
        <v>63</v>
      </c>
      <c r="AA28" s="11" t="s">
        <v>611</v>
      </c>
      <c r="AB28" s="11" t="s">
        <v>612</v>
      </c>
      <c r="AC28" s="11" t="s">
        <v>63</v>
      </c>
      <c r="AD28" s="14" t="s">
        <v>75</v>
      </c>
      <c r="AE28" s="11" t="s">
        <v>613</v>
      </c>
      <c r="AF28" s="11">
        <v>0.923</v>
      </c>
      <c r="AG28" s="11">
        <v>0.997</v>
      </c>
      <c r="AH28" s="11" t="s">
        <v>63</v>
      </c>
      <c r="AI28" s="11" t="s">
        <v>63</v>
      </c>
      <c r="AJ28" s="11" t="s">
        <v>63</v>
      </c>
      <c r="AK28" s="11" t="s">
        <v>63</v>
      </c>
      <c r="AL28" s="11" t="s">
        <v>614</v>
      </c>
      <c r="AM28" s="11" t="s">
        <v>63</v>
      </c>
      <c r="AN28" s="14" t="s">
        <v>615</v>
      </c>
      <c r="AO28" s="11" t="s">
        <v>63</v>
      </c>
      <c r="AP28" s="11" t="s">
        <v>616</v>
      </c>
      <c r="AQ28" s="11" t="s">
        <v>63</v>
      </c>
      <c r="AR28" s="11" t="s">
        <v>63</v>
      </c>
      <c r="AS28" s="17" t="s">
        <v>617</v>
      </c>
      <c r="AT28" s="11" t="s">
        <v>618</v>
      </c>
      <c r="AU28" s="18" t="s">
        <v>619</v>
      </c>
      <c r="AV28" s="18" t="s">
        <v>83</v>
      </c>
      <c r="AW28" s="11" t="s">
        <v>84</v>
      </c>
      <c r="AX28" s="18" t="s">
        <v>620</v>
      </c>
      <c r="AY28" s="19" t="s">
        <v>86</v>
      </c>
      <c r="AZ28" s="20"/>
      <c r="BA28" s="24"/>
      <c r="BB28" s="24"/>
      <c r="BC28" s="24"/>
      <c r="BD28" s="24"/>
      <c r="BE28" s="24"/>
      <c r="BF28" s="24"/>
      <c r="BG28" s="24"/>
      <c r="BH28" s="24"/>
      <c r="BI28" s="24"/>
      <c r="BJ28" s="24"/>
      <c r="BK28" s="24"/>
      <c r="BL28" s="24"/>
    </row>
    <row r="29" ht="15.75" customHeight="1">
      <c r="A29" s="35" t="s">
        <v>621</v>
      </c>
      <c r="B29" s="11" t="s">
        <v>622</v>
      </c>
      <c r="C29" s="36" t="s">
        <v>623</v>
      </c>
      <c r="D29" s="23">
        <v>2025.0</v>
      </c>
      <c r="E29" s="11" t="s">
        <v>624</v>
      </c>
      <c r="F29" s="13" t="s">
        <v>625</v>
      </c>
      <c r="G29" s="11" t="s">
        <v>626</v>
      </c>
      <c r="H29" s="14" t="s">
        <v>607</v>
      </c>
      <c r="I29" s="14" t="s">
        <v>525</v>
      </c>
      <c r="J29" s="14" t="s">
        <v>627</v>
      </c>
      <c r="K29" s="14" t="s">
        <v>60</v>
      </c>
      <c r="L29" s="14" t="s">
        <v>457</v>
      </c>
      <c r="M29" s="14" t="s">
        <v>458</v>
      </c>
      <c r="N29" s="23">
        <v>50.0</v>
      </c>
      <c r="O29" s="11" t="s">
        <v>628</v>
      </c>
      <c r="P29" s="14" t="s">
        <v>64</v>
      </c>
      <c r="Q29" s="23" t="s">
        <v>608</v>
      </c>
      <c r="R29" s="23" t="s">
        <v>63</v>
      </c>
      <c r="S29" s="14" t="s">
        <v>531</v>
      </c>
      <c r="T29" s="11" t="s">
        <v>629</v>
      </c>
      <c r="U29" s="14" t="s">
        <v>99</v>
      </c>
      <c r="V29" s="11" t="s">
        <v>630</v>
      </c>
      <c r="W29" s="23" t="s">
        <v>148</v>
      </c>
      <c r="X29" s="23" t="s">
        <v>63</v>
      </c>
      <c r="Y29" s="23" t="s">
        <v>63</v>
      </c>
      <c r="Z29" s="23" t="s">
        <v>63</v>
      </c>
      <c r="AA29" s="11" t="s">
        <v>631</v>
      </c>
      <c r="AB29" s="11" t="s">
        <v>632</v>
      </c>
      <c r="AC29" s="23" t="s">
        <v>63</v>
      </c>
      <c r="AD29" s="14" t="s">
        <v>75</v>
      </c>
      <c r="AE29" s="11" t="s">
        <v>76</v>
      </c>
      <c r="AF29" s="16">
        <v>0.923</v>
      </c>
      <c r="AG29" s="11" t="s">
        <v>633</v>
      </c>
      <c r="AH29" s="23" t="s">
        <v>63</v>
      </c>
      <c r="AI29" s="11" t="s">
        <v>634</v>
      </c>
      <c r="AJ29" s="23" t="s">
        <v>63</v>
      </c>
      <c r="AK29" s="23" t="s">
        <v>63</v>
      </c>
      <c r="AL29" s="23" t="s">
        <v>63</v>
      </c>
      <c r="AM29" s="23" t="s">
        <v>63</v>
      </c>
      <c r="AN29" s="14" t="s">
        <v>615</v>
      </c>
      <c r="AO29" s="11" t="s">
        <v>635</v>
      </c>
      <c r="AP29" s="11" t="s">
        <v>636</v>
      </c>
      <c r="AQ29" s="23" t="s">
        <v>63</v>
      </c>
      <c r="AR29" s="23" t="s">
        <v>63</v>
      </c>
      <c r="AS29" s="37" t="s">
        <v>637</v>
      </c>
      <c r="AT29" s="23" t="s">
        <v>638</v>
      </c>
      <c r="AU29" s="18" t="s">
        <v>639</v>
      </c>
      <c r="AV29" s="18" t="s">
        <v>83</v>
      </c>
      <c r="AW29" s="11" t="s">
        <v>84</v>
      </c>
      <c r="AX29" s="38" t="s">
        <v>620</v>
      </c>
      <c r="AY29" s="19" t="s">
        <v>86</v>
      </c>
      <c r="AZ29" s="39"/>
      <c r="BA29" s="40"/>
      <c r="BB29" s="40"/>
      <c r="BC29" s="40"/>
      <c r="BD29" s="40"/>
      <c r="BE29" s="40"/>
      <c r="BF29" s="40"/>
      <c r="BG29" s="40"/>
      <c r="BH29" s="40"/>
      <c r="BI29" s="40"/>
      <c r="BJ29" s="40"/>
      <c r="BK29" s="40"/>
      <c r="BL29" s="40"/>
    </row>
    <row r="30" ht="16.5" customHeight="1">
      <c r="A30" s="35" t="s">
        <v>640</v>
      </c>
      <c r="B30" s="23" t="s">
        <v>641</v>
      </c>
      <c r="C30" s="41" t="s">
        <v>642</v>
      </c>
      <c r="D30" s="23">
        <v>2023.0</v>
      </c>
      <c r="E30" s="23" t="s">
        <v>643</v>
      </c>
      <c r="F30" s="42" t="s">
        <v>644</v>
      </c>
      <c r="G30" s="23" t="s">
        <v>645</v>
      </c>
      <c r="H30" s="14" t="s">
        <v>607</v>
      </c>
      <c r="I30" s="14" t="s">
        <v>525</v>
      </c>
      <c r="J30" s="14" t="s">
        <v>308</v>
      </c>
      <c r="K30" s="14" t="s">
        <v>60</v>
      </c>
      <c r="L30" s="14" t="s">
        <v>94</v>
      </c>
      <c r="M30" s="14" t="s">
        <v>95</v>
      </c>
      <c r="N30" s="23" t="s">
        <v>63</v>
      </c>
      <c r="O30" s="23" t="s">
        <v>63</v>
      </c>
      <c r="P30" s="14" t="s">
        <v>64</v>
      </c>
      <c r="Q30" s="23" t="s">
        <v>646</v>
      </c>
      <c r="R30" s="23" t="s">
        <v>63</v>
      </c>
      <c r="S30" s="14" t="s">
        <v>228</v>
      </c>
      <c r="T30" s="23" t="s">
        <v>212</v>
      </c>
      <c r="U30" s="14" t="s">
        <v>69</v>
      </c>
      <c r="V30" s="43" t="s">
        <v>647</v>
      </c>
      <c r="W30" s="23" t="s">
        <v>648</v>
      </c>
      <c r="X30" s="23" t="s">
        <v>649</v>
      </c>
      <c r="Y30" s="23" t="s">
        <v>63</v>
      </c>
      <c r="Z30" s="23" t="s">
        <v>63</v>
      </c>
      <c r="AA30" s="23" t="s">
        <v>650</v>
      </c>
      <c r="AB30" s="23" t="s">
        <v>651</v>
      </c>
      <c r="AC30" s="23" t="s">
        <v>63</v>
      </c>
      <c r="AD30" s="14" t="s">
        <v>75</v>
      </c>
      <c r="AE30" s="23" t="s">
        <v>652</v>
      </c>
      <c r="AF30" s="44">
        <v>0.95</v>
      </c>
      <c r="AG30" s="23" t="s">
        <v>63</v>
      </c>
      <c r="AH30" s="23" t="s">
        <v>63</v>
      </c>
      <c r="AI30" s="23" t="s">
        <v>653</v>
      </c>
      <c r="AJ30" s="23" t="s">
        <v>654</v>
      </c>
      <c r="AK30" s="23" t="s">
        <v>655</v>
      </c>
      <c r="AL30" s="23" t="s">
        <v>656</v>
      </c>
      <c r="AM30" s="23" t="s">
        <v>63</v>
      </c>
      <c r="AN30" s="14" t="s">
        <v>78</v>
      </c>
      <c r="AO30" s="23" t="s">
        <v>63</v>
      </c>
      <c r="AP30" s="23" t="s">
        <v>83</v>
      </c>
      <c r="AQ30" s="23" t="s">
        <v>63</v>
      </c>
      <c r="AR30" s="23" t="s">
        <v>63</v>
      </c>
      <c r="AS30" s="37" t="s">
        <v>657</v>
      </c>
      <c r="AT30" s="23" t="s">
        <v>658</v>
      </c>
      <c r="AU30" s="18" t="s">
        <v>659</v>
      </c>
      <c r="AV30" s="18" t="s">
        <v>83</v>
      </c>
      <c r="AW30" s="11" t="s">
        <v>84</v>
      </c>
      <c r="AX30" s="38" t="s">
        <v>620</v>
      </c>
      <c r="AY30" s="19" t="s">
        <v>86</v>
      </c>
      <c r="AZ30" s="40"/>
      <c r="BA30" s="40"/>
      <c r="BB30" s="40"/>
      <c r="BC30" s="40"/>
      <c r="BD30" s="40"/>
      <c r="BE30" s="40"/>
      <c r="BF30" s="40"/>
      <c r="BG30" s="40"/>
      <c r="BH30" s="40"/>
      <c r="BI30" s="40"/>
      <c r="BJ30" s="40"/>
      <c r="BK30" s="40"/>
      <c r="BL30" s="40"/>
    </row>
    <row r="31" ht="15.75" customHeight="1">
      <c r="A31" s="35" t="s">
        <v>660</v>
      </c>
      <c r="B31" s="23" t="s">
        <v>661</v>
      </c>
      <c r="C31" s="36" t="s">
        <v>662</v>
      </c>
      <c r="D31" s="23">
        <v>2023.0</v>
      </c>
      <c r="E31" s="23" t="s">
        <v>90</v>
      </c>
      <c r="F31" s="42" t="s">
        <v>663</v>
      </c>
      <c r="G31" s="23" t="s">
        <v>664</v>
      </c>
      <c r="H31" s="14" t="s">
        <v>607</v>
      </c>
      <c r="I31" s="14" t="s">
        <v>525</v>
      </c>
      <c r="J31" s="14" t="s">
        <v>59</v>
      </c>
      <c r="K31" s="15" t="s">
        <v>93</v>
      </c>
      <c r="L31" s="14" t="s">
        <v>61</v>
      </c>
      <c r="M31" s="14" t="s">
        <v>95</v>
      </c>
      <c r="N31" s="23" t="s">
        <v>63</v>
      </c>
      <c r="O31" s="23">
        <v>15.0</v>
      </c>
      <c r="P31" s="14" t="s">
        <v>64</v>
      </c>
      <c r="Q31" s="23" t="s">
        <v>665</v>
      </c>
      <c r="R31" s="23" t="s">
        <v>63</v>
      </c>
      <c r="S31" s="14" t="s">
        <v>228</v>
      </c>
      <c r="T31" s="23" t="s">
        <v>186</v>
      </c>
      <c r="U31" s="14" t="s">
        <v>187</v>
      </c>
      <c r="V31" s="23" t="s">
        <v>666</v>
      </c>
      <c r="W31" s="23" t="s">
        <v>667</v>
      </c>
      <c r="X31" s="23" t="s">
        <v>63</v>
      </c>
      <c r="Y31" s="23" t="s">
        <v>63</v>
      </c>
      <c r="Z31" s="23" t="s">
        <v>63</v>
      </c>
      <c r="AA31" s="23" t="s">
        <v>668</v>
      </c>
      <c r="AB31" s="45" t="s">
        <v>669</v>
      </c>
      <c r="AC31" s="23" t="s">
        <v>63</v>
      </c>
      <c r="AD31" s="14" t="s">
        <v>75</v>
      </c>
      <c r="AE31" s="23" t="s">
        <v>76</v>
      </c>
      <c r="AF31" s="46">
        <v>0.9745</v>
      </c>
      <c r="AG31" s="23">
        <v>1932.0</v>
      </c>
      <c r="AH31" s="23" t="s">
        <v>63</v>
      </c>
      <c r="AI31" s="23" t="s">
        <v>63</v>
      </c>
      <c r="AJ31" s="23" t="s">
        <v>63</v>
      </c>
      <c r="AK31" s="23">
        <v>48.7</v>
      </c>
      <c r="AL31" s="23">
        <v>255.3</v>
      </c>
      <c r="AM31" s="23" t="s">
        <v>63</v>
      </c>
      <c r="AN31" s="14" t="s">
        <v>78</v>
      </c>
      <c r="AO31" s="23" t="s">
        <v>63</v>
      </c>
      <c r="AP31" s="23" t="s">
        <v>670</v>
      </c>
      <c r="AQ31" s="23" t="s">
        <v>63</v>
      </c>
      <c r="AR31" s="23" t="s">
        <v>63</v>
      </c>
      <c r="AS31" s="37" t="s">
        <v>671</v>
      </c>
      <c r="AT31" s="23" t="s">
        <v>672</v>
      </c>
      <c r="AU31" s="47" t="s">
        <v>673</v>
      </c>
      <c r="AV31" s="18" t="s">
        <v>83</v>
      </c>
      <c r="AW31" s="11" t="s">
        <v>84</v>
      </c>
      <c r="AX31" s="38" t="s">
        <v>674</v>
      </c>
      <c r="AY31" s="19" t="s">
        <v>261</v>
      </c>
      <c r="AZ31" s="40"/>
      <c r="BA31" s="40"/>
      <c r="BB31" s="40"/>
      <c r="BC31" s="40"/>
      <c r="BD31" s="40"/>
      <c r="BE31" s="40"/>
      <c r="BF31" s="40"/>
      <c r="BG31" s="40"/>
      <c r="BH31" s="40"/>
      <c r="BI31" s="40"/>
      <c r="BJ31" s="40"/>
      <c r="BK31" s="40"/>
      <c r="BL31" s="40"/>
    </row>
    <row r="32" ht="15.75" customHeight="1">
      <c r="A32" s="48" t="s">
        <v>675</v>
      </c>
      <c r="B32" s="14" t="s">
        <v>676</v>
      </c>
      <c r="C32" s="14" t="s">
        <v>677</v>
      </c>
      <c r="D32" s="49">
        <v>2023.0</v>
      </c>
      <c r="E32" s="14" t="s">
        <v>678</v>
      </c>
      <c r="F32" s="28" t="s">
        <v>679</v>
      </c>
      <c r="G32" s="14" t="s">
        <v>680</v>
      </c>
      <c r="H32" s="15" t="s">
        <v>225</v>
      </c>
      <c r="I32" s="15" t="s">
        <v>226</v>
      </c>
      <c r="J32" s="15" t="s">
        <v>63</v>
      </c>
      <c r="K32" s="15" t="s">
        <v>63</v>
      </c>
      <c r="L32" s="15" t="s">
        <v>63</v>
      </c>
      <c r="M32" s="15" t="s">
        <v>63</v>
      </c>
      <c r="N32" s="50" t="s">
        <v>681</v>
      </c>
      <c r="O32" s="50" t="s">
        <v>64</v>
      </c>
      <c r="P32" s="15" t="s">
        <v>64</v>
      </c>
      <c r="Q32" s="50" t="s">
        <v>682</v>
      </c>
      <c r="R32" s="50" t="s">
        <v>683</v>
      </c>
      <c r="S32" s="15" t="s">
        <v>228</v>
      </c>
      <c r="T32" s="50" t="s">
        <v>684</v>
      </c>
      <c r="U32" s="15" t="s">
        <v>69</v>
      </c>
      <c r="V32" s="50" t="s">
        <v>685</v>
      </c>
      <c r="W32" s="50" t="s">
        <v>63</v>
      </c>
      <c r="X32" s="50" t="s">
        <v>63</v>
      </c>
      <c r="Y32" s="50" t="s">
        <v>63</v>
      </c>
      <c r="Z32" s="50" t="s">
        <v>686</v>
      </c>
      <c r="AA32" s="50" t="s">
        <v>687</v>
      </c>
      <c r="AB32" s="50" t="s">
        <v>688</v>
      </c>
      <c r="AC32" s="50" t="s">
        <v>63</v>
      </c>
      <c r="AD32" s="15" t="s">
        <v>75</v>
      </c>
      <c r="AE32" s="50" t="s">
        <v>689</v>
      </c>
      <c r="AF32" s="50" t="s">
        <v>63</v>
      </c>
      <c r="AG32" s="50" t="s">
        <v>63</v>
      </c>
      <c r="AH32" s="50" t="s">
        <v>63</v>
      </c>
      <c r="AI32" s="50" t="s">
        <v>63</v>
      </c>
      <c r="AJ32" s="50" t="s">
        <v>690</v>
      </c>
      <c r="AK32" s="50">
        <v>264.0</v>
      </c>
      <c r="AL32" s="50" t="s">
        <v>691</v>
      </c>
      <c r="AM32" s="50" t="s">
        <v>692</v>
      </c>
      <c r="AN32" s="15" t="s">
        <v>235</v>
      </c>
      <c r="AO32" s="50" t="s">
        <v>693</v>
      </c>
      <c r="AP32" s="50" t="s">
        <v>688</v>
      </c>
      <c r="AQ32" s="50" t="s">
        <v>63</v>
      </c>
      <c r="AR32" s="14" t="s">
        <v>63</v>
      </c>
      <c r="AS32" s="51" t="s">
        <v>694</v>
      </c>
      <c r="AT32" s="14" t="s">
        <v>695</v>
      </c>
      <c r="AU32" s="50" t="s">
        <v>659</v>
      </c>
      <c r="AV32" s="18" t="s">
        <v>83</v>
      </c>
      <c r="AW32" s="11" t="s">
        <v>84</v>
      </c>
      <c r="AX32" s="38" t="s">
        <v>620</v>
      </c>
      <c r="AY32" s="19" t="s">
        <v>86</v>
      </c>
      <c r="AZ32" s="52"/>
    </row>
    <row r="33" ht="15.75" customHeight="1">
      <c r="A33" s="53" t="s">
        <v>696</v>
      </c>
      <c r="B33" s="30" t="s">
        <v>697</v>
      </c>
      <c r="C33" s="30" t="s">
        <v>698</v>
      </c>
      <c r="D33" s="30">
        <v>2023.0</v>
      </c>
      <c r="E33" s="30" t="s">
        <v>699</v>
      </c>
      <c r="F33" s="30" t="s">
        <v>700</v>
      </c>
      <c r="G33" s="30" t="s">
        <v>701</v>
      </c>
      <c r="H33" s="15" t="s">
        <v>57</v>
      </c>
      <c r="I33" s="15" t="s">
        <v>702</v>
      </c>
      <c r="J33" s="15" t="s">
        <v>703</v>
      </c>
      <c r="K33" s="15" t="s">
        <v>162</v>
      </c>
      <c r="L33" s="15" t="s">
        <v>61</v>
      </c>
      <c r="M33" s="15" t="s">
        <v>62</v>
      </c>
      <c r="N33" s="30" t="s">
        <v>704</v>
      </c>
      <c r="O33" s="30" t="s">
        <v>705</v>
      </c>
      <c r="P33" s="15" t="s">
        <v>706</v>
      </c>
      <c r="Q33" s="30" t="s">
        <v>707</v>
      </c>
      <c r="R33" s="30" t="s">
        <v>63</v>
      </c>
      <c r="S33" s="15" t="s">
        <v>63</v>
      </c>
      <c r="T33" s="30" t="s">
        <v>708</v>
      </c>
      <c r="U33" s="15" t="s">
        <v>187</v>
      </c>
      <c r="V33" s="30" t="s">
        <v>709</v>
      </c>
      <c r="W33" s="30" t="s">
        <v>710</v>
      </c>
      <c r="X33" s="30" t="s">
        <v>63</v>
      </c>
      <c r="Y33" s="30" t="s">
        <v>63</v>
      </c>
      <c r="Z33" s="30" t="s">
        <v>63</v>
      </c>
      <c r="AA33" s="30" t="s">
        <v>711</v>
      </c>
      <c r="AB33" s="30" t="s">
        <v>712</v>
      </c>
      <c r="AC33" s="30" t="s">
        <v>63</v>
      </c>
      <c r="AD33" s="15" t="s">
        <v>75</v>
      </c>
      <c r="AE33" s="30" t="s">
        <v>713</v>
      </c>
      <c r="AF33" s="30" t="s">
        <v>714</v>
      </c>
      <c r="AG33" s="30" t="s">
        <v>715</v>
      </c>
      <c r="AH33" s="30" t="s">
        <v>63</v>
      </c>
      <c r="AI33" s="30" t="s">
        <v>63</v>
      </c>
      <c r="AJ33" s="30" t="s">
        <v>63</v>
      </c>
      <c r="AK33" s="30" t="s">
        <v>716</v>
      </c>
      <c r="AL33" s="30" t="s">
        <v>717</v>
      </c>
      <c r="AM33" s="30" t="s">
        <v>718</v>
      </c>
      <c r="AN33" s="15" t="s">
        <v>78</v>
      </c>
      <c r="AO33" s="30" t="s">
        <v>63</v>
      </c>
      <c r="AP33" s="30" t="s">
        <v>79</v>
      </c>
      <c r="AQ33" s="30" t="s">
        <v>63</v>
      </c>
      <c r="AR33" s="30" t="s">
        <v>63</v>
      </c>
      <c r="AS33" s="54" t="s">
        <v>719</v>
      </c>
      <c r="AT33" s="18" t="s">
        <v>720</v>
      </c>
      <c r="AU33" s="18" t="s">
        <v>721</v>
      </c>
      <c r="AV33" s="18" t="s">
        <v>83</v>
      </c>
      <c r="AW33" s="11" t="s">
        <v>84</v>
      </c>
      <c r="AX33" s="18" t="s">
        <v>722</v>
      </c>
      <c r="AY33" s="19" t="s">
        <v>723</v>
      </c>
      <c r="AZ33" s="20"/>
      <c r="BA33" s="24"/>
      <c r="BB33" s="24"/>
      <c r="BC33" s="24"/>
      <c r="BD33" s="24"/>
      <c r="BE33" s="24"/>
      <c r="BF33" s="24"/>
      <c r="BG33" s="24"/>
      <c r="BH33" s="24"/>
      <c r="BI33" s="24"/>
      <c r="BJ33" s="24"/>
      <c r="BK33" s="24"/>
      <c r="BL33" s="24"/>
    </row>
    <row r="34" ht="15.75" customHeight="1">
      <c r="A34" s="53" t="s">
        <v>724</v>
      </c>
      <c r="B34" s="18" t="s">
        <v>725</v>
      </c>
      <c r="C34" s="18" t="s">
        <v>726</v>
      </c>
      <c r="D34" s="18">
        <v>2025.0</v>
      </c>
      <c r="E34" s="18" t="s">
        <v>727</v>
      </c>
      <c r="F34" s="18" t="s">
        <v>728</v>
      </c>
      <c r="G34" s="18" t="s">
        <v>729</v>
      </c>
      <c r="H34" s="15" t="s">
        <v>57</v>
      </c>
      <c r="I34" s="15" t="s">
        <v>142</v>
      </c>
      <c r="J34" s="15" t="s">
        <v>59</v>
      </c>
      <c r="K34" s="15" t="s">
        <v>60</v>
      </c>
      <c r="L34" s="15" t="s">
        <v>61</v>
      </c>
      <c r="M34" s="15" t="s">
        <v>62</v>
      </c>
      <c r="N34" s="18" t="s">
        <v>63</v>
      </c>
      <c r="O34" s="18" t="s">
        <v>63</v>
      </c>
      <c r="P34" s="15" t="s">
        <v>64</v>
      </c>
      <c r="Q34" s="18" t="s">
        <v>665</v>
      </c>
      <c r="R34" s="18" t="s">
        <v>63</v>
      </c>
      <c r="S34" s="15" t="s">
        <v>63</v>
      </c>
      <c r="T34" s="18" t="s">
        <v>186</v>
      </c>
      <c r="U34" s="15" t="s">
        <v>272</v>
      </c>
      <c r="V34" s="18" t="s">
        <v>730</v>
      </c>
      <c r="W34" s="18" t="s">
        <v>731</v>
      </c>
      <c r="X34" s="18" t="s">
        <v>75</v>
      </c>
      <c r="Y34" s="18" t="s">
        <v>75</v>
      </c>
      <c r="Z34" s="18" t="s">
        <v>75</v>
      </c>
      <c r="AA34" s="18" t="s">
        <v>732</v>
      </c>
      <c r="AB34" s="18" t="s">
        <v>63</v>
      </c>
      <c r="AC34" s="18" t="s">
        <v>75</v>
      </c>
      <c r="AD34" s="15" t="s">
        <v>75</v>
      </c>
      <c r="AE34" s="18" t="s">
        <v>76</v>
      </c>
      <c r="AF34" s="18" t="s">
        <v>733</v>
      </c>
      <c r="AG34" s="18" t="s">
        <v>734</v>
      </c>
      <c r="AH34" s="18" t="s">
        <v>63</v>
      </c>
      <c r="AI34" s="18" t="s">
        <v>63</v>
      </c>
      <c r="AJ34" s="18" t="s">
        <v>63</v>
      </c>
      <c r="AK34" s="18" t="s">
        <v>735</v>
      </c>
      <c r="AL34" s="18" t="s">
        <v>63</v>
      </c>
      <c r="AM34" s="18" t="s">
        <v>736</v>
      </c>
      <c r="AN34" s="15" t="s">
        <v>78</v>
      </c>
      <c r="AO34" s="18" t="s">
        <v>63</v>
      </c>
      <c r="AP34" s="18" t="s">
        <v>79</v>
      </c>
      <c r="AQ34" s="18" t="s">
        <v>63</v>
      </c>
      <c r="AR34" s="18" t="s">
        <v>63</v>
      </c>
      <c r="AS34" s="29" t="s">
        <v>737</v>
      </c>
      <c r="AT34" s="18" t="s">
        <v>738</v>
      </c>
      <c r="AU34" s="18" t="s">
        <v>739</v>
      </c>
      <c r="AV34" s="18" t="s">
        <v>83</v>
      </c>
      <c r="AW34" s="11" t="s">
        <v>84</v>
      </c>
      <c r="AX34" s="18" t="s">
        <v>85</v>
      </c>
      <c r="AY34" s="19" t="s">
        <v>86</v>
      </c>
      <c r="AZ34" s="20"/>
      <c r="BA34" s="24"/>
      <c r="BB34" s="24"/>
      <c r="BC34" s="24"/>
      <c r="BD34" s="24"/>
      <c r="BE34" s="24"/>
      <c r="BF34" s="24"/>
      <c r="BG34" s="24"/>
      <c r="BH34" s="24"/>
      <c r="BI34" s="24"/>
      <c r="BJ34" s="24"/>
      <c r="BK34" s="24"/>
      <c r="BL34" s="24"/>
    </row>
    <row r="35" ht="15.75" customHeight="1">
      <c r="A35" s="53" t="s">
        <v>740</v>
      </c>
      <c r="B35" s="18" t="s">
        <v>741</v>
      </c>
      <c r="C35" s="18" t="s">
        <v>742</v>
      </c>
      <c r="D35" s="18">
        <v>2025.0</v>
      </c>
      <c r="E35" s="18" t="s">
        <v>502</v>
      </c>
      <c r="F35" s="18" t="s">
        <v>743</v>
      </c>
      <c r="G35" s="18" t="s">
        <v>744</v>
      </c>
      <c r="H35" s="15" t="s">
        <v>57</v>
      </c>
      <c r="I35" s="15" t="s">
        <v>58</v>
      </c>
      <c r="J35" s="15" t="s">
        <v>627</v>
      </c>
      <c r="K35" s="15" t="s">
        <v>60</v>
      </c>
      <c r="L35" s="15" t="s">
        <v>61</v>
      </c>
      <c r="M35" s="15" t="s">
        <v>62</v>
      </c>
      <c r="N35" s="18">
        <v>8000.0</v>
      </c>
      <c r="O35" s="18">
        <v>1.0</v>
      </c>
      <c r="P35" s="15" t="s">
        <v>64</v>
      </c>
      <c r="Q35" s="18" t="s">
        <v>745</v>
      </c>
      <c r="R35" s="18" t="s">
        <v>63</v>
      </c>
      <c r="S35" s="15" t="s">
        <v>63</v>
      </c>
      <c r="T35" s="18" t="s">
        <v>746</v>
      </c>
      <c r="U35" s="15" t="s">
        <v>187</v>
      </c>
      <c r="V35" s="18" t="s">
        <v>187</v>
      </c>
      <c r="W35" s="18" t="s">
        <v>747</v>
      </c>
      <c r="X35" s="18" t="s">
        <v>75</v>
      </c>
      <c r="Y35" s="18" t="s">
        <v>75</v>
      </c>
      <c r="Z35" s="18" t="s">
        <v>75</v>
      </c>
      <c r="AA35" s="18" t="s">
        <v>748</v>
      </c>
      <c r="AB35" s="18" t="s">
        <v>749</v>
      </c>
      <c r="AC35" s="18" t="s">
        <v>75</v>
      </c>
      <c r="AD35" s="15" t="s">
        <v>75</v>
      </c>
      <c r="AE35" s="18" t="s">
        <v>750</v>
      </c>
      <c r="AF35" s="18" t="s">
        <v>751</v>
      </c>
      <c r="AG35" s="18" t="s">
        <v>752</v>
      </c>
      <c r="AH35" s="18" t="s">
        <v>753</v>
      </c>
      <c r="AI35" s="18" t="s">
        <v>754</v>
      </c>
      <c r="AJ35" s="18" t="s">
        <v>63</v>
      </c>
      <c r="AK35" s="18" t="s">
        <v>755</v>
      </c>
      <c r="AL35" s="18" t="s">
        <v>756</v>
      </c>
      <c r="AM35" s="18" t="s">
        <v>757</v>
      </c>
      <c r="AN35" s="15" t="s">
        <v>78</v>
      </c>
      <c r="AO35" s="18" t="s">
        <v>63</v>
      </c>
      <c r="AP35" s="18" t="s">
        <v>79</v>
      </c>
      <c r="AQ35" s="18" t="s">
        <v>75</v>
      </c>
      <c r="AR35" s="18" t="s">
        <v>63</v>
      </c>
      <c r="AS35" s="55" t="s">
        <v>758</v>
      </c>
      <c r="AT35" s="18" t="s">
        <v>759</v>
      </c>
      <c r="AU35" s="18" t="s">
        <v>760</v>
      </c>
      <c r="AV35" s="18" t="s">
        <v>83</v>
      </c>
      <c r="AW35" s="11" t="s">
        <v>84</v>
      </c>
      <c r="AX35" s="18" t="s">
        <v>722</v>
      </c>
      <c r="AY35" s="19" t="s">
        <v>261</v>
      </c>
      <c r="AZ35" s="20"/>
      <c r="BA35" s="24"/>
      <c r="BB35" s="24"/>
      <c r="BC35" s="24"/>
      <c r="BD35" s="24"/>
      <c r="BE35" s="24"/>
      <c r="BF35" s="24"/>
      <c r="BG35" s="24"/>
      <c r="BH35" s="24"/>
      <c r="BI35" s="24"/>
      <c r="BJ35" s="24"/>
      <c r="BK35" s="24"/>
      <c r="BL35" s="24"/>
    </row>
    <row r="36" ht="15.75" customHeight="1">
      <c r="A36" s="53" t="s">
        <v>761</v>
      </c>
      <c r="B36" s="56" t="s">
        <v>762</v>
      </c>
      <c r="C36" s="56" t="s">
        <v>763</v>
      </c>
      <c r="D36" s="56">
        <v>2024.0</v>
      </c>
      <c r="E36" s="18" t="s">
        <v>764</v>
      </c>
      <c r="F36" s="56" t="s">
        <v>765</v>
      </c>
      <c r="G36" s="56" t="s">
        <v>766</v>
      </c>
      <c r="H36" s="15" t="s">
        <v>607</v>
      </c>
      <c r="I36" s="15" t="s">
        <v>525</v>
      </c>
      <c r="J36" s="15" t="s">
        <v>59</v>
      </c>
      <c r="K36" s="15" t="s">
        <v>60</v>
      </c>
      <c r="L36" s="15" t="s">
        <v>767</v>
      </c>
      <c r="M36" s="15" t="s">
        <v>768</v>
      </c>
      <c r="N36" s="18">
        <v>0.5</v>
      </c>
      <c r="O36" s="18" t="s">
        <v>63</v>
      </c>
      <c r="P36" s="15" t="s">
        <v>64</v>
      </c>
      <c r="Q36" s="18" t="s">
        <v>769</v>
      </c>
      <c r="R36" s="18" t="s">
        <v>682</v>
      </c>
      <c r="S36" s="15" t="s">
        <v>228</v>
      </c>
      <c r="T36" s="18" t="s">
        <v>770</v>
      </c>
      <c r="U36" s="15" t="s">
        <v>187</v>
      </c>
      <c r="V36" s="18" t="s">
        <v>771</v>
      </c>
      <c r="W36" s="18" t="s">
        <v>772</v>
      </c>
      <c r="X36" s="18" t="s">
        <v>75</v>
      </c>
      <c r="Y36" s="18" t="s">
        <v>75</v>
      </c>
      <c r="Z36" s="18" t="s">
        <v>75</v>
      </c>
      <c r="AA36" s="18" t="s">
        <v>773</v>
      </c>
      <c r="AB36" s="18" t="s">
        <v>774</v>
      </c>
      <c r="AC36" s="18" t="s">
        <v>63</v>
      </c>
      <c r="AD36" s="15" t="s">
        <v>75</v>
      </c>
      <c r="AE36" s="18" t="s">
        <v>76</v>
      </c>
      <c r="AF36" s="57">
        <v>0.9173</v>
      </c>
      <c r="AG36" s="18">
        <v>1414.0</v>
      </c>
      <c r="AH36" s="18" t="s">
        <v>63</v>
      </c>
      <c r="AI36" s="18" t="s">
        <v>63</v>
      </c>
      <c r="AJ36" s="18" t="s">
        <v>63</v>
      </c>
      <c r="AK36" s="18">
        <v>304.1</v>
      </c>
      <c r="AL36" s="18">
        <v>124.8</v>
      </c>
      <c r="AM36" s="18" t="s">
        <v>63</v>
      </c>
      <c r="AN36" s="15" t="s">
        <v>78</v>
      </c>
      <c r="AO36" s="18" t="s">
        <v>775</v>
      </c>
      <c r="AP36" s="18" t="s">
        <v>75</v>
      </c>
      <c r="AQ36" s="18" t="s">
        <v>63</v>
      </c>
      <c r="AR36" s="18" t="s">
        <v>63</v>
      </c>
      <c r="AS36" s="29" t="s">
        <v>765</v>
      </c>
      <c r="AT36" s="30" t="s">
        <v>776</v>
      </c>
      <c r="AU36" s="58" t="s">
        <v>777</v>
      </c>
      <c r="AV36" s="18" t="s">
        <v>83</v>
      </c>
      <c r="AW36" s="11" t="s">
        <v>84</v>
      </c>
      <c r="AX36" s="18" t="s">
        <v>620</v>
      </c>
      <c r="AY36" s="19" t="s">
        <v>86</v>
      </c>
      <c r="AZ36" s="20"/>
      <c r="BA36" s="24"/>
      <c r="BB36" s="24"/>
      <c r="BC36" s="24"/>
      <c r="BD36" s="24"/>
      <c r="BE36" s="24"/>
      <c r="BF36" s="24"/>
      <c r="BG36" s="24"/>
      <c r="BH36" s="24"/>
      <c r="BI36" s="24"/>
      <c r="BJ36" s="24"/>
      <c r="BK36" s="24"/>
      <c r="BL36" s="24"/>
    </row>
    <row r="37" ht="15.75" customHeight="1">
      <c r="A37" s="53" t="s">
        <v>778</v>
      </c>
      <c r="B37" s="59" t="s">
        <v>779</v>
      </c>
      <c r="C37" s="59" t="s">
        <v>780</v>
      </c>
      <c r="D37" s="59">
        <v>2026.0</v>
      </c>
      <c r="E37" s="18" t="s">
        <v>781</v>
      </c>
      <c r="F37" s="59" t="s">
        <v>782</v>
      </c>
      <c r="G37" s="59" t="s">
        <v>783</v>
      </c>
      <c r="H37" s="15" t="s">
        <v>607</v>
      </c>
      <c r="I37" s="15" t="s">
        <v>525</v>
      </c>
      <c r="J37" s="15" t="s">
        <v>268</v>
      </c>
      <c r="K37" s="15" t="s">
        <v>60</v>
      </c>
      <c r="L37" s="15" t="s">
        <v>94</v>
      </c>
      <c r="M37" s="15" t="s">
        <v>458</v>
      </c>
      <c r="N37" s="18">
        <v>100.0</v>
      </c>
      <c r="O37" s="18">
        <v>1.0</v>
      </c>
      <c r="P37" s="15" t="s">
        <v>64</v>
      </c>
      <c r="Q37" s="18" t="s">
        <v>784</v>
      </c>
      <c r="R37" s="18" t="s">
        <v>682</v>
      </c>
      <c r="S37" s="15" t="s">
        <v>531</v>
      </c>
      <c r="T37" s="18" t="s">
        <v>785</v>
      </c>
      <c r="U37" s="15" t="s">
        <v>99</v>
      </c>
      <c r="V37" s="18" t="s">
        <v>786</v>
      </c>
      <c r="W37" s="18" t="s">
        <v>787</v>
      </c>
      <c r="X37" s="18" t="s">
        <v>75</v>
      </c>
      <c r="Y37" s="18" t="s">
        <v>75</v>
      </c>
      <c r="Z37" s="18" t="s">
        <v>75</v>
      </c>
      <c r="AA37" s="18" t="s">
        <v>788</v>
      </c>
      <c r="AB37" s="18" t="s">
        <v>789</v>
      </c>
      <c r="AC37" s="18" t="s">
        <v>790</v>
      </c>
      <c r="AD37" s="15" t="s">
        <v>75</v>
      </c>
      <c r="AE37" s="18" t="s">
        <v>791</v>
      </c>
      <c r="AF37" s="18" t="s">
        <v>792</v>
      </c>
      <c r="AG37" s="18">
        <v>47.0</v>
      </c>
      <c r="AH37" s="18" t="s">
        <v>63</v>
      </c>
      <c r="AI37" s="18" t="s">
        <v>63</v>
      </c>
      <c r="AJ37" s="18" t="s">
        <v>63</v>
      </c>
      <c r="AK37" s="18" t="s">
        <v>793</v>
      </c>
      <c r="AL37" s="18" t="s">
        <v>794</v>
      </c>
      <c r="AM37" s="18" t="s">
        <v>63</v>
      </c>
      <c r="AN37" s="15" t="s">
        <v>615</v>
      </c>
      <c r="AO37" s="18" t="s">
        <v>795</v>
      </c>
      <c r="AP37" s="18" t="s">
        <v>83</v>
      </c>
      <c r="AQ37" s="18" t="s">
        <v>796</v>
      </c>
      <c r="AR37" s="18" t="s">
        <v>63</v>
      </c>
      <c r="AS37" s="29" t="s">
        <v>797</v>
      </c>
      <c r="AT37" s="30" t="s">
        <v>798</v>
      </c>
      <c r="AU37" s="60" t="s">
        <v>799</v>
      </c>
      <c r="AV37" s="18" t="s">
        <v>83</v>
      </c>
      <c r="AW37" s="11" t="s">
        <v>84</v>
      </c>
      <c r="AX37" s="38" t="s">
        <v>620</v>
      </c>
      <c r="AY37" s="19" t="s">
        <v>86</v>
      </c>
      <c r="AZ37" s="20"/>
      <c r="BA37" s="24"/>
      <c r="BB37" s="24"/>
      <c r="BC37" s="24"/>
      <c r="BD37" s="24"/>
      <c r="BE37" s="24"/>
      <c r="BF37" s="24"/>
      <c r="BG37" s="24"/>
      <c r="BH37" s="24"/>
      <c r="BI37" s="24"/>
      <c r="BJ37" s="24"/>
      <c r="BK37" s="24"/>
      <c r="BL37" s="24"/>
    </row>
    <row r="38" ht="15.75" customHeight="1">
      <c r="A38" s="53" t="s">
        <v>800</v>
      </c>
      <c r="B38" s="59" t="s">
        <v>801</v>
      </c>
      <c r="C38" s="59" t="s">
        <v>802</v>
      </c>
      <c r="D38" s="59">
        <v>2022.0</v>
      </c>
      <c r="E38" s="18" t="s">
        <v>454</v>
      </c>
      <c r="F38" s="59" t="s">
        <v>803</v>
      </c>
      <c r="G38" s="59" t="s">
        <v>804</v>
      </c>
      <c r="H38" s="15" t="s">
        <v>607</v>
      </c>
      <c r="I38" s="15" t="s">
        <v>525</v>
      </c>
      <c r="J38" s="15" t="s">
        <v>268</v>
      </c>
      <c r="K38" s="15" t="s">
        <v>60</v>
      </c>
      <c r="L38" s="15" t="s">
        <v>94</v>
      </c>
      <c r="M38" s="15" t="s">
        <v>768</v>
      </c>
      <c r="N38" s="18">
        <v>2.0</v>
      </c>
      <c r="O38" s="18" t="s">
        <v>805</v>
      </c>
      <c r="P38" s="15" t="s">
        <v>64</v>
      </c>
      <c r="Q38" s="18" t="s">
        <v>806</v>
      </c>
      <c r="R38" s="18" t="s">
        <v>807</v>
      </c>
      <c r="S38" s="15" t="s">
        <v>228</v>
      </c>
      <c r="T38" s="18" t="s">
        <v>808</v>
      </c>
      <c r="U38" s="15" t="s">
        <v>187</v>
      </c>
      <c r="V38" s="18" t="s">
        <v>809</v>
      </c>
      <c r="W38" s="18" t="s">
        <v>810</v>
      </c>
      <c r="X38" s="18" t="s">
        <v>75</v>
      </c>
      <c r="Y38" s="18" t="s">
        <v>75</v>
      </c>
      <c r="Z38" s="18" t="s">
        <v>75</v>
      </c>
      <c r="AA38" s="18" t="s">
        <v>773</v>
      </c>
      <c r="AB38" s="18" t="s">
        <v>811</v>
      </c>
      <c r="AC38" s="18" t="s">
        <v>63</v>
      </c>
      <c r="AD38" s="15" t="s">
        <v>75</v>
      </c>
      <c r="AE38" s="18" t="s">
        <v>812</v>
      </c>
      <c r="AF38" s="18">
        <v>0.023</v>
      </c>
      <c r="AG38" s="18" t="s">
        <v>63</v>
      </c>
      <c r="AH38" s="18" t="s">
        <v>63</v>
      </c>
      <c r="AI38" s="18" t="s">
        <v>813</v>
      </c>
      <c r="AJ38" s="18" t="s">
        <v>63</v>
      </c>
      <c r="AK38" s="18">
        <v>1024.0</v>
      </c>
      <c r="AL38" s="18">
        <v>256.0</v>
      </c>
      <c r="AM38" s="18">
        <v>59.0</v>
      </c>
      <c r="AN38" s="15" t="s">
        <v>615</v>
      </c>
      <c r="AO38" s="18" t="s">
        <v>814</v>
      </c>
      <c r="AP38" s="18" t="s">
        <v>83</v>
      </c>
      <c r="AQ38" s="18" t="s">
        <v>63</v>
      </c>
      <c r="AR38" s="55" t="s">
        <v>815</v>
      </c>
      <c r="AS38" s="55" t="s">
        <v>816</v>
      </c>
      <c r="AT38" s="30" t="s">
        <v>817</v>
      </c>
      <c r="AU38" s="60" t="s">
        <v>818</v>
      </c>
      <c r="AV38" s="18" t="s">
        <v>83</v>
      </c>
      <c r="AW38" s="11" t="s">
        <v>84</v>
      </c>
      <c r="AX38" s="38" t="s">
        <v>620</v>
      </c>
      <c r="AY38" s="19" t="s">
        <v>86</v>
      </c>
      <c r="AZ38" s="20"/>
      <c r="BA38" s="24"/>
      <c r="BB38" s="24"/>
      <c r="BC38" s="24"/>
      <c r="BD38" s="24"/>
      <c r="BE38" s="24"/>
      <c r="BF38" s="24"/>
      <c r="BG38" s="24"/>
      <c r="BH38" s="24"/>
      <c r="BI38" s="24"/>
      <c r="BJ38" s="24"/>
      <c r="BK38" s="24"/>
      <c r="BL38" s="24"/>
    </row>
    <row r="39" ht="15.75" customHeight="1">
      <c r="A39" s="53" t="s">
        <v>819</v>
      </c>
      <c r="B39" s="59" t="s">
        <v>820</v>
      </c>
      <c r="C39" s="59" t="s">
        <v>821</v>
      </c>
      <c r="D39" s="59">
        <v>2025.0</v>
      </c>
      <c r="E39" s="18" t="s">
        <v>822</v>
      </c>
      <c r="F39" s="59" t="s">
        <v>823</v>
      </c>
      <c r="G39" s="59" t="s">
        <v>824</v>
      </c>
      <c r="H39" s="15" t="s">
        <v>607</v>
      </c>
      <c r="I39" s="15" t="s">
        <v>505</v>
      </c>
      <c r="J39" s="15" t="s">
        <v>308</v>
      </c>
      <c r="K39" s="15" t="s">
        <v>184</v>
      </c>
      <c r="L39" s="15" t="s">
        <v>94</v>
      </c>
      <c r="M39" s="15" t="s">
        <v>825</v>
      </c>
      <c r="N39" s="18" t="s">
        <v>63</v>
      </c>
      <c r="O39" s="18" t="s">
        <v>63</v>
      </c>
      <c r="P39" s="15" t="s">
        <v>64</v>
      </c>
      <c r="Q39" s="18" t="s">
        <v>200</v>
      </c>
      <c r="R39" s="18" t="s">
        <v>682</v>
      </c>
      <c r="S39" s="15" t="s">
        <v>67</v>
      </c>
      <c r="T39" s="18" t="s">
        <v>826</v>
      </c>
      <c r="U39" s="15" t="s">
        <v>272</v>
      </c>
      <c r="V39" s="18" t="s">
        <v>827</v>
      </c>
      <c r="W39" s="18" t="s">
        <v>828</v>
      </c>
      <c r="X39" s="18" t="s">
        <v>75</v>
      </c>
      <c r="Y39" s="18" t="s">
        <v>75</v>
      </c>
      <c r="Z39" s="18" t="s">
        <v>75</v>
      </c>
      <c r="AA39" s="18" t="s">
        <v>788</v>
      </c>
      <c r="AB39" s="18" t="s">
        <v>829</v>
      </c>
      <c r="AC39" s="18" t="s">
        <v>63</v>
      </c>
      <c r="AD39" s="15" t="s">
        <v>75</v>
      </c>
      <c r="AE39" s="18" t="s">
        <v>76</v>
      </c>
      <c r="AF39" s="18" t="s">
        <v>830</v>
      </c>
      <c r="AG39" s="18">
        <v>1.0</v>
      </c>
      <c r="AH39" s="18" t="s">
        <v>63</v>
      </c>
      <c r="AI39" s="18" t="s">
        <v>63</v>
      </c>
      <c r="AJ39" s="18" t="s">
        <v>831</v>
      </c>
      <c r="AK39" s="18">
        <v>15.5</v>
      </c>
      <c r="AL39" s="18">
        <v>1.4</v>
      </c>
      <c r="AM39" s="18">
        <v>7.8</v>
      </c>
      <c r="AN39" s="15" t="s">
        <v>78</v>
      </c>
      <c r="AO39" s="18" t="s">
        <v>63</v>
      </c>
      <c r="AP39" s="18" t="s">
        <v>83</v>
      </c>
      <c r="AQ39" s="18" t="s">
        <v>63</v>
      </c>
      <c r="AR39" s="18" t="s">
        <v>63</v>
      </c>
      <c r="AS39" s="55" t="s">
        <v>832</v>
      </c>
      <c r="AT39" s="30" t="s">
        <v>833</v>
      </c>
      <c r="AU39" s="60" t="s">
        <v>834</v>
      </c>
      <c r="AV39" s="18" t="s">
        <v>83</v>
      </c>
      <c r="AW39" s="11" t="s">
        <v>84</v>
      </c>
      <c r="AX39" s="38" t="s">
        <v>620</v>
      </c>
      <c r="AY39" s="19" t="s">
        <v>86</v>
      </c>
      <c r="AZ39" s="20"/>
      <c r="BA39" s="24"/>
      <c r="BB39" s="24"/>
      <c r="BC39" s="24"/>
      <c r="BD39" s="24"/>
      <c r="BE39" s="24"/>
      <c r="BF39" s="24"/>
      <c r="BG39" s="24"/>
      <c r="BH39" s="24"/>
      <c r="BI39" s="24"/>
      <c r="BJ39" s="24"/>
      <c r="BK39" s="24"/>
      <c r="BL39" s="24"/>
    </row>
    <row r="40" ht="15.75" customHeight="1">
      <c r="A40" s="53" t="s">
        <v>835</v>
      </c>
      <c r="B40" s="61" t="s">
        <v>836</v>
      </c>
      <c r="C40" s="62" t="s">
        <v>837</v>
      </c>
      <c r="D40" s="63">
        <v>2025.0</v>
      </c>
      <c r="E40" s="63" t="s">
        <v>838</v>
      </c>
      <c r="F40" s="63" t="s">
        <v>839</v>
      </c>
      <c r="G40" s="63" t="s">
        <v>840</v>
      </c>
      <c r="H40" s="64" t="s">
        <v>57</v>
      </c>
      <c r="I40" s="64" t="s">
        <v>58</v>
      </c>
      <c r="J40" s="64" t="s">
        <v>841</v>
      </c>
      <c r="K40" s="64" t="s">
        <v>93</v>
      </c>
      <c r="L40" s="64" t="s">
        <v>118</v>
      </c>
      <c r="M40" s="64" t="s">
        <v>95</v>
      </c>
      <c r="N40" s="63" t="s">
        <v>842</v>
      </c>
      <c r="O40" s="63" t="s">
        <v>843</v>
      </c>
      <c r="P40" s="64" t="s">
        <v>64</v>
      </c>
      <c r="Q40" s="63" t="s">
        <v>844</v>
      </c>
      <c r="R40" s="63" t="s">
        <v>530</v>
      </c>
      <c r="S40" s="64" t="s">
        <v>228</v>
      </c>
      <c r="T40" s="63" t="s">
        <v>845</v>
      </c>
      <c r="U40" s="64" t="s">
        <v>187</v>
      </c>
      <c r="V40" s="63" t="s">
        <v>846</v>
      </c>
      <c r="W40" s="63" t="s">
        <v>83</v>
      </c>
      <c r="X40" s="63" t="s">
        <v>75</v>
      </c>
      <c r="Y40" s="63" t="s">
        <v>75</v>
      </c>
      <c r="Z40" s="63" t="s">
        <v>75</v>
      </c>
      <c r="AA40" s="63" t="s">
        <v>847</v>
      </c>
      <c r="AB40" s="63" t="s">
        <v>848</v>
      </c>
      <c r="AC40" s="63" t="s">
        <v>75</v>
      </c>
      <c r="AD40" s="64" t="s">
        <v>75</v>
      </c>
      <c r="AE40" s="63" t="s">
        <v>849</v>
      </c>
      <c r="AF40" s="63">
        <v>0.02048</v>
      </c>
      <c r="AG40" s="63" t="s">
        <v>580</v>
      </c>
      <c r="AH40" s="63" t="s">
        <v>580</v>
      </c>
      <c r="AI40" s="63" t="s">
        <v>580</v>
      </c>
      <c r="AJ40" s="63" t="s">
        <v>850</v>
      </c>
      <c r="AK40" s="63">
        <v>256.0</v>
      </c>
      <c r="AL40" s="63">
        <v>32.0</v>
      </c>
      <c r="AM40" s="63">
        <v>12.493</v>
      </c>
      <c r="AN40" s="64" t="s">
        <v>78</v>
      </c>
      <c r="AO40" s="63" t="s">
        <v>851</v>
      </c>
      <c r="AP40" s="63" t="s">
        <v>852</v>
      </c>
      <c r="AQ40" s="63" t="s">
        <v>75</v>
      </c>
      <c r="AR40" s="63" t="s">
        <v>853</v>
      </c>
      <c r="AS40" s="65" t="s">
        <v>854</v>
      </c>
      <c r="AT40" s="38" t="s">
        <v>855</v>
      </c>
      <c r="AU40" s="38" t="s">
        <v>856</v>
      </c>
      <c r="AV40" s="18" t="s">
        <v>83</v>
      </c>
      <c r="AW40" s="11" t="s">
        <v>84</v>
      </c>
      <c r="AX40" s="38" t="s">
        <v>85</v>
      </c>
      <c r="AY40" s="66" t="s">
        <v>86</v>
      </c>
      <c r="AZ40" s="40"/>
      <c r="BA40" s="67"/>
      <c r="BB40" s="67"/>
      <c r="BC40" s="67"/>
      <c r="BD40" s="67"/>
      <c r="BE40" s="67"/>
      <c r="BF40" s="67"/>
      <c r="BG40" s="67"/>
      <c r="BH40" s="67"/>
      <c r="BI40" s="67"/>
      <c r="BJ40" s="67"/>
      <c r="BK40" s="67"/>
      <c r="BL40" s="67"/>
    </row>
    <row r="41" ht="15.75" customHeight="1">
      <c r="A41" s="53" t="s">
        <v>857</v>
      </c>
      <c r="B41" s="18" t="s">
        <v>858</v>
      </c>
      <c r="C41" s="18" t="s">
        <v>859</v>
      </c>
      <c r="D41" s="18">
        <v>2024.0</v>
      </c>
      <c r="E41" s="18" t="s">
        <v>860</v>
      </c>
      <c r="F41" s="30" t="s">
        <v>861</v>
      </c>
      <c r="G41" s="18" t="s">
        <v>862</v>
      </c>
      <c r="H41" s="15" t="s">
        <v>160</v>
      </c>
      <c r="I41" s="15" t="s">
        <v>505</v>
      </c>
      <c r="J41" s="15" t="s">
        <v>59</v>
      </c>
      <c r="K41" s="15" t="s">
        <v>93</v>
      </c>
      <c r="L41" s="15" t="s">
        <v>118</v>
      </c>
      <c r="M41" s="15" t="s">
        <v>863</v>
      </c>
      <c r="N41" s="18" t="s">
        <v>864</v>
      </c>
      <c r="O41" s="18" t="s">
        <v>865</v>
      </c>
      <c r="P41" s="15" t="s">
        <v>64</v>
      </c>
      <c r="Q41" s="18" t="s">
        <v>866</v>
      </c>
      <c r="R41" s="18" t="s">
        <v>867</v>
      </c>
      <c r="S41" s="15" t="s">
        <v>228</v>
      </c>
      <c r="T41" s="18" t="s">
        <v>868</v>
      </c>
      <c r="U41" s="15" t="s">
        <v>99</v>
      </c>
      <c r="V41" s="18" t="s">
        <v>869</v>
      </c>
      <c r="W41" s="18" t="s">
        <v>75</v>
      </c>
      <c r="X41" s="18" t="s">
        <v>75</v>
      </c>
      <c r="Y41" s="18" t="s">
        <v>75</v>
      </c>
      <c r="Z41" s="18" t="s">
        <v>870</v>
      </c>
      <c r="AA41" s="18" t="s">
        <v>871</v>
      </c>
      <c r="AB41" s="18" t="s">
        <v>872</v>
      </c>
      <c r="AC41" s="18" t="s">
        <v>75</v>
      </c>
      <c r="AD41" s="15" t="s">
        <v>75</v>
      </c>
      <c r="AE41" s="18" t="s">
        <v>873</v>
      </c>
      <c r="AF41" s="18" t="s">
        <v>874</v>
      </c>
      <c r="AG41" s="18" t="s">
        <v>875</v>
      </c>
      <c r="AH41" s="18" t="s">
        <v>876</v>
      </c>
      <c r="AI41" s="18" t="s">
        <v>877</v>
      </c>
      <c r="AJ41" s="18" t="s">
        <v>878</v>
      </c>
      <c r="AK41" s="18" t="s">
        <v>879</v>
      </c>
      <c r="AL41" s="18" t="s">
        <v>880</v>
      </c>
      <c r="AM41" s="18" t="s">
        <v>881</v>
      </c>
      <c r="AN41" s="15" t="s">
        <v>235</v>
      </c>
      <c r="AO41" s="18" t="s">
        <v>882</v>
      </c>
      <c r="AP41" s="18" t="s">
        <v>485</v>
      </c>
      <c r="AQ41" s="18" t="s">
        <v>853</v>
      </c>
      <c r="AR41" s="18" t="s">
        <v>853</v>
      </c>
      <c r="AS41" s="29" t="s">
        <v>883</v>
      </c>
      <c r="AT41" s="18" t="s">
        <v>884</v>
      </c>
      <c r="AU41" s="18" t="s">
        <v>885</v>
      </c>
      <c r="AV41" s="18" t="s">
        <v>83</v>
      </c>
      <c r="AW41" s="11" t="s">
        <v>84</v>
      </c>
      <c r="AX41" s="18" t="s">
        <v>85</v>
      </c>
      <c r="AY41" s="66" t="s">
        <v>86</v>
      </c>
      <c r="AZ41" s="20"/>
      <c r="BA41" s="24"/>
      <c r="BB41" s="24"/>
      <c r="BC41" s="24"/>
      <c r="BD41" s="24"/>
      <c r="BE41" s="24"/>
      <c r="BF41" s="24"/>
      <c r="BG41" s="24"/>
      <c r="BH41" s="24"/>
      <c r="BI41" s="24"/>
      <c r="BJ41" s="24"/>
      <c r="BK41" s="24"/>
      <c r="BL41" s="24"/>
    </row>
    <row r="42" ht="15.75" customHeight="1">
      <c r="A42" s="53" t="s">
        <v>886</v>
      </c>
      <c r="B42" s="18" t="s">
        <v>887</v>
      </c>
      <c r="C42" s="18" t="s">
        <v>888</v>
      </c>
      <c r="D42" s="18">
        <v>2021.0</v>
      </c>
      <c r="E42" s="18" t="s">
        <v>889</v>
      </c>
      <c r="F42" s="30" t="s">
        <v>890</v>
      </c>
      <c r="G42" s="18" t="s">
        <v>891</v>
      </c>
      <c r="H42" s="15" t="s">
        <v>480</v>
      </c>
      <c r="I42" s="15" t="s">
        <v>142</v>
      </c>
      <c r="J42" s="15" t="s">
        <v>161</v>
      </c>
      <c r="K42" s="15" t="s">
        <v>60</v>
      </c>
      <c r="L42" s="15" t="s">
        <v>94</v>
      </c>
      <c r="M42" s="15" t="s">
        <v>95</v>
      </c>
      <c r="N42" s="18" t="s">
        <v>892</v>
      </c>
      <c r="O42" s="18" t="s">
        <v>893</v>
      </c>
      <c r="P42" s="15" t="s">
        <v>64</v>
      </c>
      <c r="Q42" s="18" t="s">
        <v>894</v>
      </c>
      <c r="R42" s="18" t="s">
        <v>895</v>
      </c>
      <c r="S42" s="15" t="s">
        <v>228</v>
      </c>
      <c r="T42" s="18" t="s">
        <v>896</v>
      </c>
      <c r="U42" s="15" t="s">
        <v>187</v>
      </c>
      <c r="V42" s="18" t="s">
        <v>897</v>
      </c>
      <c r="W42" s="18" t="s">
        <v>898</v>
      </c>
      <c r="X42" s="18" t="s">
        <v>899</v>
      </c>
      <c r="Y42" s="18" t="s">
        <v>900</v>
      </c>
      <c r="Z42" s="18" t="s">
        <v>901</v>
      </c>
      <c r="AA42" s="18" t="s">
        <v>902</v>
      </c>
      <c r="AB42" s="18" t="s">
        <v>903</v>
      </c>
      <c r="AC42" s="18" t="s">
        <v>75</v>
      </c>
      <c r="AD42" s="15" t="s">
        <v>75</v>
      </c>
      <c r="AE42" s="18" t="s">
        <v>904</v>
      </c>
      <c r="AF42" s="18" t="s">
        <v>905</v>
      </c>
      <c r="AG42" s="18" t="s">
        <v>906</v>
      </c>
      <c r="AH42" s="18" t="s">
        <v>907</v>
      </c>
      <c r="AI42" s="18" t="s">
        <v>908</v>
      </c>
      <c r="AJ42" s="18" t="s">
        <v>909</v>
      </c>
      <c r="AK42" s="18" t="s">
        <v>910</v>
      </c>
      <c r="AL42" s="18" t="s">
        <v>911</v>
      </c>
      <c r="AM42" s="18" t="s">
        <v>912</v>
      </c>
      <c r="AN42" s="15" t="s">
        <v>78</v>
      </c>
      <c r="AO42" s="18" t="s">
        <v>913</v>
      </c>
      <c r="AP42" s="18" t="s">
        <v>914</v>
      </c>
      <c r="AQ42" s="18" t="s">
        <v>915</v>
      </c>
      <c r="AR42" s="55" t="s">
        <v>916</v>
      </c>
      <c r="AS42" s="29" t="s">
        <v>917</v>
      </c>
      <c r="AT42" s="68" t="s">
        <v>918</v>
      </c>
      <c r="AU42" s="18" t="s">
        <v>919</v>
      </c>
      <c r="AV42" s="18" t="s">
        <v>83</v>
      </c>
      <c r="AW42" s="11" t="s">
        <v>84</v>
      </c>
      <c r="AX42" s="18" t="s">
        <v>722</v>
      </c>
      <c r="AY42" s="19" t="s">
        <v>261</v>
      </c>
      <c r="AZ42" s="20"/>
      <c r="BA42" s="24"/>
      <c r="BB42" s="24"/>
      <c r="BC42" s="24"/>
      <c r="BD42" s="24"/>
      <c r="BE42" s="24"/>
      <c r="BF42" s="24"/>
      <c r="BG42" s="24"/>
      <c r="BH42" s="24"/>
      <c r="BI42" s="24"/>
      <c r="BJ42" s="24"/>
      <c r="BK42" s="24"/>
      <c r="BL42" s="24"/>
    </row>
    <row r="43" ht="18.75" customHeight="1">
      <c r="A43" s="53" t="s">
        <v>920</v>
      </c>
      <c r="B43" s="18" t="s">
        <v>921</v>
      </c>
      <c r="C43" s="18" t="s">
        <v>922</v>
      </c>
      <c r="D43" s="18">
        <v>2025.0</v>
      </c>
      <c r="E43" s="18" t="s">
        <v>923</v>
      </c>
      <c r="F43" s="18" t="s">
        <v>924</v>
      </c>
      <c r="G43" s="18" t="s">
        <v>925</v>
      </c>
      <c r="H43" s="15" t="s">
        <v>57</v>
      </c>
      <c r="I43" s="15" t="s">
        <v>505</v>
      </c>
      <c r="J43" s="15" t="s">
        <v>59</v>
      </c>
      <c r="K43" s="15" t="s">
        <v>93</v>
      </c>
      <c r="L43" s="15" t="s">
        <v>94</v>
      </c>
      <c r="M43" s="15" t="s">
        <v>95</v>
      </c>
      <c r="N43" s="18" t="s">
        <v>926</v>
      </c>
      <c r="O43" s="18" t="s">
        <v>927</v>
      </c>
      <c r="P43" s="15" t="s">
        <v>64</v>
      </c>
      <c r="Q43" s="18" t="s">
        <v>928</v>
      </c>
      <c r="R43" s="18" t="s">
        <v>929</v>
      </c>
      <c r="S43" s="15" t="s">
        <v>228</v>
      </c>
      <c r="T43" s="18" t="s">
        <v>930</v>
      </c>
      <c r="U43" s="15" t="s">
        <v>187</v>
      </c>
      <c r="V43" s="18" t="s">
        <v>931</v>
      </c>
      <c r="W43" s="18" t="s">
        <v>932</v>
      </c>
      <c r="X43" s="18" t="s">
        <v>75</v>
      </c>
      <c r="Y43" s="18" t="s">
        <v>75</v>
      </c>
      <c r="Z43" s="18" t="s">
        <v>75</v>
      </c>
      <c r="AA43" s="18" t="s">
        <v>933</v>
      </c>
      <c r="AB43" s="18" t="s">
        <v>934</v>
      </c>
      <c r="AC43" s="18" t="s">
        <v>75</v>
      </c>
      <c r="AD43" s="15" t="s">
        <v>75</v>
      </c>
      <c r="AE43" s="18" t="s">
        <v>935</v>
      </c>
      <c r="AF43" s="18" t="s">
        <v>936</v>
      </c>
      <c r="AG43" s="18" t="s">
        <v>937</v>
      </c>
      <c r="AH43" s="18" t="s">
        <v>938</v>
      </c>
      <c r="AI43" s="18" t="s">
        <v>939</v>
      </c>
      <c r="AJ43" s="18" t="s">
        <v>940</v>
      </c>
      <c r="AK43" s="18" t="s">
        <v>941</v>
      </c>
      <c r="AL43" s="18" t="s">
        <v>942</v>
      </c>
      <c r="AM43" s="18" t="s">
        <v>943</v>
      </c>
      <c r="AN43" s="15" t="s">
        <v>78</v>
      </c>
      <c r="AO43" s="18" t="s">
        <v>944</v>
      </c>
      <c r="AP43" s="18" t="s">
        <v>945</v>
      </c>
      <c r="AQ43" s="18" t="s">
        <v>485</v>
      </c>
      <c r="AR43" s="18" t="s">
        <v>853</v>
      </c>
      <c r="AS43" s="29" t="s">
        <v>946</v>
      </c>
      <c r="AT43" s="18" t="s">
        <v>947</v>
      </c>
      <c r="AU43" s="18" t="s">
        <v>948</v>
      </c>
      <c r="AV43" s="18" t="s">
        <v>83</v>
      </c>
      <c r="AW43" s="11" t="s">
        <v>84</v>
      </c>
      <c r="AX43" s="18" t="s">
        <v>85</v>
      </c>
      <c r="AY43" s="19" t="s">
        <v>86</v>
      </c>
      <c r="AZ43" s="24"/>
      <c r="BA43" s="24"/>
      <c r="BB43" s="24"/>
      <c r="BC43" s="24"/>
      <c r="BD43" s="24"/>
      <c r="BE43" s="24"/>
      <c r="BF43" s="24"/>
      <c r="BG43" s="24"/>
      <c r="BH43" s="24"/>
      <c r="BI43" s="24"/>
      <c r="BJ43" s="24"/>
      <c r="BK43" s="24"/>
      <c r="BL43" s="24"/>
    </row>
    <row r="44" ht="15.75" customHeight="1">
      <c r="A44" s="69" t="s">
        <v>949</v>
      </c>
      <c r="B44" s="70" t="s">
        <v>950</v>
      </c>
      <c r="C44" s="71" t="s">
        <v>951</v>
      </c>
      <c r="D44" s="71">
        <v>2025.0</v>
      </c>
      <c r="E44" s="71" t="s">
        <v>344</v>
      </c>
      <c r="F44" s="71" t="s">
        <v>952</v>
      </c>
      <c r="G44" s="71" t="s">
        <v>953</v>
      </c>
      <c r="H44" s="72" t="s">
        <v>160</v>
      </c>
      <c r="I44" s="72" t="s">
        <v>505</v>
      </c>
      <c r="J44" s="72" t="s">
        <v>161</v>
      </c>
      <c r="K44" s="72" t="s">
        <v>63</v>
      </c>
      <c r="L44" s="72" t="s">
        <v>163</v>
      </c>
      <c r="M44" s="72" t="s">
        <v>164</v>
      </c>
      <c r="N44" s="71" t="s">
        <v>954</v>
      </c>
      <c r="O44" s="71" t="s">
        <v>954</v>
      </c>
      <c r="P44" s="72" t="s">
        <v>955</v>
      </c>
      <c r="Q44" s="71" t="s">
        <v>956</v>
      </c>
      <c r="R44" s="71" t="s">
        <v>954</v>
      </c>
      <c r="S44" s="72" t="s">
        <v>63</v>
      </c>
      <c r="T44" s="71" t="s">
        <v>954</v>
      </c>
      <c r="U44" s="72" t="s">
        <v>187</v>
      </c>
      <c r="V44" s="71" t="s">
        <v>957</v>
      </c>
      <c r="W44" s="71" t="s">
        <v>83</v>
      </c>
      <c r="X44" s="71" t="s">
        <v>954</v>
      </c>
      <c r="Y44" s="71" t="s">
        <v>954</v>
      </c>
      <c r="Z44" s="71" t="s">
        <v>954</v>
      </c>
      <c r="AA44" s="71" t="s">
        <v>958</v>
      </c>
      <c r="AB44" s="71" t="s">
        <v>954</v>
      </c>
      <c r="AC44" s="71" t="s">
        <v>959</v>
      </c>
      <c r="AD44" s="72" t="s">
        <v>75</v>
      </c>
      <c r="AE44" s="71" t="s">
        <v>960</v>
      </c>
      <c r="AF44" s="73">
        <f>+19.2%</f>
        <v>0.192</v>
      </c>
      <c r="AG44" s="71" t="s">
        <v>954</v>
      </c>
      <c r="AH44" s="71" t="s">
        <v>954</v>
      </c>
      <c r="AI44" s="71">
        <v>8.2</v>
      </c>
      <c r="AJ44" s="71" t="s">
        <v>954</v>
      </c>
      <c r="AK44" s="71" t="s">
        <v>954</v>
      </c>
      <c r="AL44" s="71" t="s">
        <v>954</v>
      </c>
      <c r="AM44" s="71">
        <v>500.0</v>
      </c>
      <c r="AN44" s="72" t="s">
        <v>78</v>
      </c>
      <c r="AO44" s="71" t="s">
        <v>954</v>
      </c>
      <c r="AP44" s="71" t="s">
        <v>83</v>
      </c>
      <c r="AQ44" s="71" t="s">
        <v>954</v>
      </c>
      <c r="AR44" s="71" t="s">
        <v>954</v>
      </c>
      <c r="AS44" s="74" t="s">
        <v>961</v>
      </c>
      <c r="AT44" s="71" t="s">
        <v>962</v>
      </c>
      <c r="AU44" s="75" t="s">
        <v>963</v>
      </c>
      <c r="AV44" s="18" t="s">
        <v>83</v>
      </c>
      <c r="AW44" s="11" t="s">
        <v>84</v>
      </c>
      <c r="AX44" s="18" t="s">
        <v>176</v>
      </c>
      <c r="AY44" s="19" t="s">
        <v>86</v>
      </c>
      <c r="AZ44" s="76"/>
      <c r="BA44" s="77"/>
      <c r="BB44" s="77"/>
      <c r="BC44" s="77"/>
      <c r="BD44" s="77"/>
      <c r="BE44" s="77"/>
      <c r="BF44" s="77"/>
      <c r="BG44" s="77"/>
      <c r="BH44" s="77"/>
      <c r="BI44" s="77"/>
      <c r="BJ44" s="77"/>
      <c r="BK44" s="77"/>
      <c r="BL44" s="77"/>
    </row>
    <row r="45" ht="15.75" customHeight="1">
      <c r="A45" s="69" t="s">
        <v>964</v>
      </c>
      <c r="B45" s="70" t="s">
        <v>965</v>
      </c>
      <c r="C45" s="71" t="s">
        <v>951</v>
      </c>
      <c r="D45" s="71">
        <v>2026.0</v>
      </c>
      <c r="E45" s="71" t="s">
        <v>344</v>
      </c>
      <c r="F45" s="71" t="s">
        <v>966</v>
      </c>
      <c r="G45" s="71" t="s">
        <v>967</v>
      </c>
      <c r="H45" s="72" t="s">
        <v>160</v>
      </c>
      <c r="I45" s="72" t="s">
        <v>505</v>
      </c>
      <c r="J45" s="72" t="s">
        <v>161</v>
      </c>
      <c r="K45" s="72" t="s">
        <v>63</v>
      </c>
      <c r="L45" s="72" t="s">
        <v>163</v>
      </c>
      <c r="M45" s="72" t="s">
        <v>164</v>
      </c>
      <c r="N45" s="71" t="s">
        <v>954</v>
      </c>
      <c r="O45" s="71" t="s">
        <v>954</v>
      </c>
      <c r="P45" s="72" t="s">
        <v>64</v>
      </c>
      <c r="Q45" s="71" t="s">
        <v>956</v>
      </c>
      <c r="R45" s="71" t="s">
        <v>954</v>
      </c>
      <c r="S45" s="72" t="s">
        <v>63</v>
      </c>
      <c r="T45" s="71" t="s">
        <v>954</v>
      </c>
      <c r="U45" s="72" t="s">
        <v>272</v>
      </c>
      <c r="V45" s="71" t="s">
        <v>954</v>
      </c>
      <c r="W45" s="71" t="s">
        <v>83</v>
      </c>
      <c r="X45" s="71" t="s">
        <v>954</v>
      </c>
      <c r="Y45" s="71" t="s">
        <v>954</v>
      </c>
      <c r="Z45" s="71" t="s">
        <v>954</v>
      </c>
      <c r="AA45" s="71" t="s">
        <v>958</v>
      </c>
      <c r="AB45" s="71" t="s">
        <v>954</v>
      </c>
      <c r="AC45" s="71" t="s">
        <v>959</v>
      </c>
      <c r="AD45" s="72" t="s">
        <v>75</v>
      </c>
      <c r="AE45" s="71" t="s">
        <v>968</v>
      </c>
      <c r="AF45" s="73">
        <f>+14%</f>
        <v>0.14</v>
      </c>
      <c r="AG45" s="71" t="s">
        <v>954</v>
      </c>
      <c r="AH45" s="71">
        <v>357.0</v>
      </c>
      <c r="AI45" s="71" t="s">
        <v>954</v>
      </c>
      <c r="AJ45" s="71" t="s">
        <v>954</v>
      </c>
      <c r="AK45" s="71" t="s">
        <v>954</v>
      </c>
      <c r="AL45" s="71">
        <v>10.0</v>
      </c>
      <c r="AM45" s="71" t="s">
        <v>954</v>
      </c>
      <c r="AN45" s="72" t="s">
        <v>78</v>
      </c>
      <c r="AO45" s="71" t="s">
        <v>954</v>
      </c>
      <c r="AP45" s="71" t="s">
        <v>83</v>
      </c>
      <c r="AQ45" s="71" t="s">
        <v>954</v>
      </c>
      <c r="AR45" s="71" t="s">
        <v>954</v>
      </c>
      <c r="AS45" s="74" t="s">
        <v>969</v>
      </c>
      <c r="AT45" s="71" t="s">
        <v>970</v>
      </c>
      <c r="AU45" s="75" t="s">
        <v>971</v>
      </c>
      <c r="AV45" s="18" t="s">
        <v>83</v>
      </c>
      <c r="AW45" s="11" t="s">
        <v>84</v>
      </c>
      <c r="AX45" s="18" t="s">
        <v>176</v>
      </c>
      <c r="AY45" s="19" t="s">
        <v>86</v>
      </c>
      <c r="AZ45" s="76"/>
      <c r="BA45" s="77"/>
      <c r="BB45" s="77"/>
      <c r="BC45" s="77"/>
      <c r="BD45" s="77"/>
      <c r="BE45" s="77"/>
      <c r="BF45" s="77"/>
      <c r="BG45" s="77"/>
      <c r="BH45" s="77"/>
      <c r="BI45" s="77"/>
      <c r="BJ45" s="77"/>
      <c r="BK45" s="77"/>
      <c r="BL45" s="77"/>
    </row>
    <row r="46" ht="15.75" customHeight="1">
      <c r="A46" s="69" t="s">
        <v>972</v>
      </c>
      <c r="B46" s="70" t="s">
        <v>973</v>
      </c>
      <c r="C46" s="71" t="s">
        <v>454</v>
      </c>
      <c r="D46" s="71">
        <v>2022.0</v>
      </c>
      <c r="E46" s="71" t="s">
        <v>454</v>
      </c>
      <c r="F46" s="71" t="s">
        <v>974</v>
      </c>
      <c r="G46" s="71" t="s">
        <v>975</v>
      </c>
      <c r="H46" s="72" t="s">
        <v>160</v>
      </c>
      <c r="I46" s="72" t="s">
        <v>505</v>
      </c>
      <c r="J46" s="72" t="s">
        <v>161</v>
      </c>
      <c r="K46" s="72" t="s">
        <v>63</v>
      </c>
      <c r="L46" s="72" t="s">
        <v>163</v>
      </c>
      <c r="M46" s="72" t="s">
        <v>164</v>
      </c>
      <c r="N46" s="71" t="s">
        <v>954</v>
      </c>
      <c r="O46" s="71" t="s">
        <v>954</v>
      </c>
      <c r="P46" s="72" t="s">
        <v>64</v>
      </c>
      <c r="Q46" s="71" t="s">
        <v>976</v>
      </c>
      <c r="R46" s="71" t="s">
        <v>954</v>
      </c>
      <c r="S46" s="72" t="s">
        <v>63</v>
      </c>
      <c r="T46" s="71" t="s">
        <v>954</v>
      </c>
      <c r="U46" s="72" t="s">
        <v>187</v>
      </c>
      <c r="V46" s="71" t="s">
        <v>954</v>
      </c>
      <c r="W46" s="71" t="s">
        <v>954</v>
      </c>
      <c r="X46" s="71" t="s">
        <v>954</v>
      </c>
      <c r="Y46" s="71" t="s">
        <v>954</v>
      </c>
      <c r="Z46" s="71" t="s">
        <v>83</v>
      </c>
      <c r="AA46" s="71" t="s">
        <v>958</v>
      </c>
      <c r="AB46" s="71" t="s">
        <v>954</v>
      </c>
      <c r="AC46" s="71" t="s">
        <v>959</v>
      </c>
      <c r="AD46" s="72" t="s">
        <v>75</v>
      </c>
      <c r="AE46" s="71" t="s">
        <v>76</v>
      </c>
      <c r="AF46" s="71" t="s">
        <v>954</v>
      </c>
      <c r="AG46" s="71" t="s">
        <v>954</v>
      </c>
      <c r="AH46" s="71" t="s">
        <v>954</v>
      </c>
      <c r="AI46" s="71" t="s">
        <v>954</v>
      </c>
      <c r="AJ46" s="71" t="s">
        <v>954</v>
      </c>
      <c r="AK46" s="71" t="s">
        <v>954</v>
      </c>
      <c r="AL46" s="71" t="s">
        <v>954</v>
      </c>
      <c r="AM46" s="71" t="s">
        <v>954</v>
      </c>
      <c r="AN46" s="72" t="s">
        <v>78</v>
      </c>
      <c r="AO46" s="71" t="s">
        <v>954</v>
      </c>
      <c r="AP46" s="71" t="s">
        <v>954</v>
      </c>
      <c r="AQ46" s="71" t="s">
        <v>954</v>
      </c>
      <c r="AR46" s="71" t="s">
        <v>954</v>
      </c>
      <c r="AS46" s="74" t="s">
        <v>977</v>
      </c>
      <c r="AT46" s="71" t="s">
        <v>978</v>
      </c>
      <c r="AU46" s="75" t="s">
        <v>979</v>
      </c>
      <c r="AV46" s="18" t="s">
        <v>83</v>
      </c>
      <c r="AW46" s="11" t="s">
        <v>84</v>
      </c>
      <c r="AX46" s="18" t="s">
        <v>176</v>
      </c>
      <c r="AY46" s="19" t="s">
        <v>86</v>
      </c>
      <c r="AZ46" s="76"/>
      <c r="BA46" s="77"/>
      <c r="BB46" s="77"/>
      <c r="BC46" s="77"/>
      <c r="BD46" s="77"/>
      <c r="BE46" s="77"/>
      <c r="BF46" s="77"/>
      <c r="BG46" s="77"/>
      <c r="BH46" s="77"/>
      <c r="BI46" s="77"/>
      <c r="BJ46" s="77"/>
      <c r="BK46" s="77"/>
      <c r="BL46" s="77"/>
    </row>
    <row r="47" ht="16.5" customHeight="1">
      <c r="A47" s="31" t="s">
        <v>980</v>
      </c>
      <c r="B47" s="78" t="s">
        <v>981</v>
      </c>
      <c r="C47" s="79" t="s">
        <v>982</v>
      </c>
      <c r="D47" s="18">
        <v>2023.0</v>
      </c>
      <c r="E47" s="18" t="s">
        <v>983</v>
      </c>
      <c r="F47" s="18" t="s">
        <v>984</v>
      </c>
      <c r="G47" s="18" t="s">
        <v>985</v>
      </c>
      <c r="H47" s="15" t="s">
        <v>225</v>
      </c>
      <c r="I47" s="15" t="s">
        <v>226</v>
      </c>
      <c r="J47" s="15" t="s">
        <v>288</v>
      </c>
      <c r="K47" s="15" t="s">
        <v>60</v>
      </c>
      <c r="L47" s="15" t="s">
        <v>94</v>
      </c>
      <c r="M47" s="15" t="s">
        <v>95</v>
      </c>
      <c r="N47" s="18" t="s">
        <v>986</v>
      </c>
      <c r="O47" s="18" t="s">
        <v>63</v>
      </c>
      <c r="P47" s="15" t="s">
        <v>64</v>
      </c>
      <c r="Q47" s="18" t="s">
        <v>987</v>
      </c>
      <c r="R47" s="18" t="s">
        <v>63</v>
      </c>
      <c r="S47" s="15" t="s">
        <v>67</v>
      </c>
      <c r="T47" s="18" t="s">
        <v>988</v>
      </c>
      <c r="U47" s="15" t="s">
        <v>187</v>
      </c>
      <c r="V47" s="18" t="s">
        <v>989</v>
      </c>
      <c r="W47" s="18" t="s">
        <v>63</v>
      </c>
      <c r="X47" s="18" t="s">
        <v>63</v>
      </c>
      <c r="Y47" s="18" t="s">
        <v>63</v>
      </c>
      <c r="Z47" s="18" t="s">
        <v>63</v>
      </c>
      <c r="AA47" s="18" t="s">
        <v>990</v>
      </c>
      <c r="AB47" s="18" t="s">
        <v>63</v>
      </c>
      <c r="AC47" s="18" t="s">
        <v>63</v>
      </c>
      <c r="AD47" s="15" t="s">
        <v>75</v>
      </c>
      <c r="AE47" s="18" t="s">
        <v>76</v>
      </c>
      <c r="AF47" s="18" t="s">
        <v>991</v>
      </c>
      <c r="AG47" s="18" t="s">
        <v>992</v>
      </c>
      <c r="AH47" s="18" t="s">
        <v>63</v>
      </c>
      <c r="AI47" s="18" t="s">
        <v>63</v>
      </c>
      <c r="AJ47" s="18" t="s">
        <v>993</v>
      </c>
      <c r="AK47" s="18" t="s">
        <v>994</v>
      </c>
      <c r="AL47" s="18" t="s">
        <v>995</v>
      </c>
      <c r="AM47" s="18" t="s">
        <v>63</v>
      </c>
      <c r="AN47" s="15" t="s">
        <v>78</v>
      </c>
      <c r="AO47" s="18" t="s">
        <v>63</v>
      </c>
      <c r="AP47" s="18" t="s">
        <v>996</v>
      </c>
      <c r="AQ47" s="18" t="s">
        <v>63</v>
      </c>
      <c r="AR47" s="18" t="s">
        <v>63</v>
      </c>
      <c r="AS47" s="79" t="s">
        <v>997</v>
      </c>
      <c r="AT47" s="18" t="s">
        <v>998</v>
      </c>
      <c r="AU47" s="18" t="s">
        <v>999</v>
      </c>
      <c r="AV47" s="18" t="s">
        <v>83</v>
      </c>
      <c r="AW47" s="11" t="s">
        <v>84</v>
      </c>
      <c r="AX47" s="38" t="s">
        <v>280</v>
      </c>
      <c r="AY47" s="66" t="s">
        <v>86</v>
      </c>
      <c r="AZ47" s="80"/>
      <c r="BA47" s="67"/>
      <c r="BB47" s="67"/>
      <c r="BC47" s="67"/>
      <c r="BD47" s="67"/>
      <c r="BE47" s="67"/>
      <c r="BF47" s="67"/>
      <c r="BG47" s="67"/>
      <c r="BH47" s="67"/>
      <c r="BI47" s="67"/>
      <c r="BJ47" s="67"/>
      <c r="BK47" s="67"/>
      <c r="BL47" s="67"/>
    </row>
    <row r="48" ht="15.75" customHeight="1">
      <c r="A48" s="69" t="s">
        <v>1000</v>
      </c>
      <c r="B48" s="70" t="s">
        <v>1001</v>
      </c>
      <c r="C48" s="71" t="s">
        <v>1002</v>
      </c>
      <c r="D48" s="71">
        <v>2022.0</v>
      </c>
      <c r="E48" s="71" t="s">
        <v>1002</v>
      </c>
      <c r="F48" s="71" t="s">
        <v>1003</v>
      </c>
      <c r="G48" s="71" t="s">
        <v>1004</v>
      </c>
      <c r="H48" s="72" t="s">
        <v>160</v>
      </c>
      <c r="I48" s="72" t="s">
        <v>505</v>
      </c>
      <c r="J48" s="72" t="s">
        <v>161</v>
      </c>
      <c r="K48" s="72" t="s">
        <v>63</v>
      </c>
      <c r="L48" s="72" t="s">
        <v>163</v>
      </c>
      <c r="M48" s="72" t="s">
        <v>164</v>
      </c>
      <c r="N48" s="71" t="s">
        <v>954</v>
      </c>
      <c r="O48" s="71" t="s">
        <v>954</v>
      </c>
      <c r="P48" s="72" t="s">
        <v>64</v>
      </c>
      <c r="Q48" s="71" t="s">
        <v>1005</v>
      </c>
      <c r="R48" s="71" t="s">
        <v>1006</v>
      </c>
      <c r="S48" s="72" t="s">
        <v>63</v>
      </c>
      <c r="T48" s="71" t="s">
        <v>954</v>
      </c>
      <c r="U48" s="72" t="s">
        <v>187</v>
      </c>
      <c r="V48" s="71" t="s">
        <v>954</v>
      </c>
      <c r="W48" s="71" t="s">
        <v>83</v>
      </c>
      <c r="X48" s="71" t="s">
        <v>954</v>
      </c>
      <c r="Y48" s="71" t="s">
        <v>954</v>
      </c>
      <c r="Z48" s="71" t="s">
        <v>954</v>
      </c>
      <c r="AA48" s="71" t="s">
        <v>958</v>
      </c>
      <c r="AB48" s="71" t="s">
        <v>1007</v>
      </c>
      <c r="AC48" s="71" t="s">
        <v>959</v>
      </c>
      <c r="AD48" s="72" t="s">
        <v>75</v>
      </c>
      <c r="AE48" s="71" t="s">
        <v>1008</v>
      </c>
      <c r="AF48" s="71" t="s">
        <v>1009</v>
      </c>
      <c r="AG48" s="71" t="s">
        <v>954</v>
      </c>
      <c r="AH48" s="71">
        <v>0.284</v>
      </c>
      <c r="AI48" s="71" t="s">
        <v>954</v>
      </c>
      <c r="AJ48" s="71" t="s">
        <v>954</v>
      </c>
      <c r="AK48" s="71" t="s">
        <v>954</v>
      </c>
      <c r="AL48" s="71" t="s">
        <v>954</v>
      </c>
      <c r="AM48" s="71" t="s">
        <v>954</v>
      </c>
      <c r="AN48" s="72" t="s">
        <v>78</v>
      </c>
      <c r="AO48" s="71" t="s">
        <v>954</v>
      </c>
      <c r="AP48" s="71" t="s">
        <v>83</v>
      </c>
      <c r="AQ48" s="71" t="s">
        <v>954</v>
      </c>
      <c r="AR48" s="71" t="s">
        <v>954</v>
      </c>
      <c r="AS48" s="74" t="s">
        <v>1010</v>
      </c>
      <c r="AT48" s="75" t="s">
        <v>1011</v>
      </c>
      <c r="AU48" s="75" t="s">
        <v>193</v>
      </c>
      <c r="AV48" s="18" t="s">
        <v>83</v>
      </c>
      <c r="AW48" s="11" t="s">
        <v>84</v>
      </c>
      <c r="AX48" s="18" t="s">
        <v>176</v>
      </c>
      <c r="AY48" s="66" t="s">
        <v>86</v>
      </c>
      <c r="AZ48" s="76"/>
      <c r="BA48" s="77"/>
      <c r="BB48" s="77"/>
      <c r="BC48" s="77"/>
      <c r="BD48" s="77"/>
      <c r="BE48" s="77"/>
      <c r="BF48" s="77"/>
      <c r="BG48" s="77"/>
      <c r="BH48" s="77"/>
      <c r="BI48" s="77"/>
      <c r="BJ48" s="77"/>
      <c r="BK48" s="77"/>
      <c r="BL48" s="77"/>
    </row>
    <row r="49" ht="15.75" customHeight="1">
      <c r="A49" s="69" t="s">
        <v>1012</v>
      </c>
      <c r="B49" s="70" t="s">
        <v>1013</v>
      </c>
      <c r="C49" s="71" t="s">
        <v>502</v>
      </c>
      <c r="D49" s="71">
        <v>2025.0</v>
      </c>
      <c r="E49" s="71" t="s">
        <v>502</v>
      </c>
      <c r="F49" s="71" t="s">
        <v>1014</v>
      </c>
      <c r="G49" s="71" t="s">
        <v>1015</v>
      </c>
      <c r="H49" s="72" t="s">
        <v>160</v>
      </c>
      <c r="I49" s="72" t="s">
        <v>505</v>
      </c>
      <c r="J49" s="72" t="s">
        <v>161</v>
      </c>
      <c r="K49" s="72" t="s">
        <v>63</v>
      </c>
      <c r="L49" s="72" t="s">
        <v>163</v>
      </c>
      <c r="M49" s="72" t="s">
        <v>164</v>
      </c>
      <c r="N49" s="71" t="s">
        <v>954</v>
      </c>
      <c r="O49" s="71" t="s">
        <v>954</v>
      </c>
      <c r="P49" s="72" t="s">
        <v>64</v>
      </c>
      <c r="Q49" s="71" t="s">
        <v>1016</v>
      </c>
      <c r="R49" s="71" t="s">
        <v>954</v>
      </c>
      <c r="S49" s="72" t="s">
        <v>63</v>
      </c>
      <c r="T49" s="71" t="s">
        <v>954</v>
      </c>
      <c r="U49" s="72" t="s">
        <v>187</v>
      </c>
      <c r="V49" s="71" t="s">
        <v>1017</v>
      </c>
      <c r="W49" s="71" t="s">
        <v>83</v>
      </c>
      <c r="X49" s="71" t="s">
        <v>954</v>
      </c>
      <c r="Y49" s="71" t="s">
        <v>954</v>
      </c>
      <c r="Z49" s="71" t="s">
        <v>954</v>
      </c>
      <c r="AA49" s="71" t="s">
        <v>958</v>
      </c>
      <c r="AB49" s="71" t="s">
        <v>1007</v>
      </c>
      <c r="AC49" s="71" t="s">
        <v>959</v>
      </c>
      <c r="AD49" s="72" t="s">
        <v>75</v>
      </c>
      <c r="AE49" s="71" t="s">
        <v>1018</v>
      </c>
      <c r="AF49" s="71" t="s">
        <v>954</v>
      </c>
      <c r="AG49" s="71">
        <v>63.3</v>
      </c>
      <c r="AH49" s="71">
        <v>1.2</v>
      </c>
      <c r="AI49" s="71" t="s">
        <v>954</v>
      </c>
      <c r="AJ49" s="71" t="s">
        <v>954</v>
      </c>
      <c r="AK49" s="71" t="s">
        <v>954</v>
      </c>
      <c r="AL49" s="71" t="s">
        <v>954</v>
      </c>
      <c r="AM49" s="71">
        <v>14.4</v>
      </c>
      <c r="AN49" s="72" t="s">
        <v>78</v>
      </c>
      <c r="AO49" s="71" t="s">
        <v>954</v>
      </c>
      <c r="AP49" s="71" t="s">
        <v>83</v>
      </c>
      <c r="AQ49" s="71" t="s">
        <v>954</v>
      </c>
      <c r="AR49" s="71" t="s">
        <v>954</v>
      </c>
      <c r="AS49" s="74" t="s">
        <v>1019</v>
      </c>
      <c r="AT49" s="75" t="s">
        <v>1020</v>
      </c>
      <c r="AU49" s="75" t="s">
        <v>1021</v>
      </c>
      <c r="AV49" s="18" t="s">
        <v>83</v>
      </c>
      <c r="AW49" s="11" t="s">
        <v>84</v>
      </c>
      <c r="AX49" s="18" t="s">
        <v>176</v>
      </c>
      <c r="AY49" s="66" t="s">
        <v>86</v>
      </c>
      <c r="AZ49" s="76"/>
      <c r="BA49" s="77"/>
      <c r="BB49" s="77"/>
      <c r="BC49" s="77"/>
      <c r="BD49" s="77"/>
      <c r="BE49" s="77"/>
      <c r="BF49" s="77"/>
      <c r="BG49" s="77"/>
      <c r="BH49" s="77"/>
      <c r="BI49" s="77"/>
      <c r="BJ49" s="77"/>
      <c r="BK49" s="77"/>
      <c r="BL49" s="77"/>
    </row>
    <row r="50" ht="15.75" customHeight="1">
      <c r="A50" s="69" t="s">
        <v>1022</v>
      </c>
      <c r="B50" s="70" t="s">
        <v>1023</v>
      </c>
      <c r="C50" s="71" t="s">
        <v>1024</v>
      </c>
      <c r="D50" s="71">
        <v>2025.0</v>
      </c>
      <c r="E50" s="71" t="s">
        <v>1024</v>
      </c>
      <c r="F50" s="71" t="s">
        <v>1025</v>
      </c>
      <c r="G50" s="71" t="s">
        <v>1026</v>
      </c>
      <c r="H50" s="72" t="s">
        <v>160</v>
      </c>
      <c r="I50" s="72" t="s">
        <v>505</v>
      </c>
      <c r="J50" s="72" t="s">
        <v>161</v>
      </c>
      <c r="K50" s="72" t="s">
        <v>63</v>
      </c>
      <c r="L50" s="72" t="s">
        <v>94</v>
      </c>
      <c r="M50" s="72" t="s">
        <v>95</v>
      </c>
      <c r="N50" s="71" t="s">
        <v>954</v>
      </c>
      <c r="O50" s="71" t="s">
        <v>954</v>
      </c>
      <c r="P50" s="72" t="s">
        <v>64</v>
      </c>
      <c r="Q50" s="71" t="s">
        <v>608</v>
      </c>
      <c r="R50" s="71" t="s">
        <v>954</v>
      </c>
      <c r="S50" s="72" t="s">
        <v>228</v>
      </c>
      <c r="T50" s="71" t="s">
        <v>1027</v>
      </c>
      <c r="U50" s="72" t="s">
        <v>187</v>
      </c>
      <c r="V50" s="71" t="s">
        <v>954</v>
      </c>
      <c r="W50" s="71" t="s">
        <v>83</v>
      </c>
      <c r="X50" s="71" t="s">
        <v>954</v>
      </c>
      <c r="Y50" s="71" t="s">
        <v>954</v>
      </c>
      <c r="Z50" s="71" t="s">
        <v>954</v>
      </c>
      <c r="AA50" s="71" t="s">
        <v>958</v>
      </c>
      <c r="AB50" s="71" t="s">
        <v>1007</v>
      </c>
      <c r="AC50" s="71" t="s">
        <v>959</v>
      </c>
      <c r="AD50" s="72" t="s">
        <v>75</v>
      </c>
      <c r="AE50" s="71" t="s">
        <v>1028</v>
      </c>
      <c r="AF50" s="71" t="s">
        <v>1029</v>
      </c>
      <c r="AG50" s="71">
        <v>10.0</v>
      </c>
      <c r="AH50" s="71" t="s">
        <v>954</v>
      </c>
      <c r="AI50" s="71">
        <v>20.0</v>
      </c>
      <c r="AJ50" s="71" t="s">
        <v>954</v>
      </c>
      <c r="AK50" s="71" t="s">
        <v>954</v>
      </c>
      <c r="AL50" s="71" t="s">
        <v>954</v>
      </c>
      <c r="AM50" s="71" t="s">
        <v>954</v>
      </c>
      <c r="AN50" s="72" t="s">
        <v>78</v>
      </c>
      <c r="AO50" s="71" t="s">
        <v>954</v>
      </c>
      <c r="AP50" s="71" t="s">
        <v>83</v>
      </c>
      <c r="AQ50" s="71" t="s">
        <v>954</v>
      </c>
      <c r="AR50" s="71" t="s">
        <v>954</v>
      </c>
      <c r="AS50" s="74" t="s">
        <v>1030</v>
      </c>
      <c r="AT50" s="75" t="s">
        <v>1031</v>
      </c>
      <c r="AU50" s="75" t="s">
        <v>193</v>
      </c>
      <c r="AV50" s="18" t="s">
        <v>83</v>
      </c>
      <c r="AW50" s="11" t="s">
        <v>84</v>
      </c>
      <c r="AX50" s="18" t="s">
        <v>176</v>
      </c>
      <c r="AY50" s="66" t="s">
        <v>86</v>
      </c>
      <c r="AZ50" s="76"/>
      <c r="BA50" s="77"/>
      <c r="BB50" s="77"/>
      <c r="BC50" s="77"/>
      <c r="BD50" s="77"/>
      <c r="BE50" s="77"/>
      <c r="BF50" s="77"/>
      <c r="BG50" s="77"/>
      <c r="BH50" s="77"/>
      <c r="BI50" s="77"/>
      <c r="BJ50" s="77"/>
      <c r="BK50" s="77"/>
      <c r="BL50" s="77"/>
    </row>
    <row r="51" ht="15.75" customHeight="1">
      <c r="A51" s="69" t="s">
        <v>1032</v>
      </c>
      <c r="B51" s="70" t="s">
        <v>1033</v>
      </c>
      <c r="C51" s="71" t="s">
        <v>502</v>
      </c>
      <c r="D51" s="71">
        <v>2024.0</v>
      </c>
      <c r="E51" s="71" t="s">
        <v>502</v>
      </c>
      <c r="F51" s="71" t="s">
        <v>1034</v>
      </c>
      <c r="G51" s="71" t="s">
        <v>967</v>
      </c>
      <c r="H51" s="72" t="s">
        <v>160</v>
      </c>
      <c r="I51" s="72" t="s">
        <v>505</v>
      </c>
      <c r="J51" s="72" t="s">
        <v>161</v>
      </c>
      <c r="K51" s="72" t="s">
        <v>63</v>
      </c>
      <c r="L51" s="72" t="s">
        <v>163</v>
      </c>
      <c r="M51" s="72" t="s">
        <v>164</v>
      </c>
      <c r="N51" s="71" t="s">
        <v>954</v>
      </c>
      <c r="O51" s="71" t="s">
        <v>954</v>
      </c>
      <c r="P51" s="72" t="s">
        <v>64</v>
      </c>
      <c r="Q51" s="71" t="s">
        <v>956</v>
      </c>
      <c r="R51" s="71" t="s">
        <v>954</v>
      </c>
      <c r="S51" s="72" t="s">
        <v>63</v>
      </c>
      <c r="T51" s="71" t="s">
        <v>954</v>
      </c>
      <c r="U51" s="72" t="s">
        <v>187</v>
      </c>
      <c r="V51" s="71" t="s">
        <v>954</v>
      </c>
      <c r="W51" s="71" t="s">
        <v>954</v>
      </c>
      <c r="X51" s="71" t="s">
        <v>954</v>
      </c>
      <c r="Y51" s="71" t="s">
        <v>954</v>
      </c>
      <c r="Z51" s="71" t="s">
        <v>954</v>
      </c>
      <c r="AA51" s="71" t="s">
        <v>958</v>
      </c>
      <c r="AB51" s="71" t="s">
        <v>954</v>
      </c>
      <c r="AC51" s="71" t="s">
        <v>959</v>
      </c>
      <c r="AD51" s="72" t="s">
        <v>75</v>
      </c>
      <c r="AE51" s="71" t="s">
        <v>968</v>
      </c>
      <c r="AF51" s="81">
        <v>0.14</v>
      </c>
      <c r="AG51" s="71" t="s">
        <v>954</v>
      </c>
      <c r="AH51" s="71">
        <v>806.0</v>
      </c>
      <c r="AI51" s="71" t="s">
        <v>954</v>
      </c>
      <c r="AJ51" s="71" t="s">
        <v>954</v>
      </c>
      <c r="AK51" s="71" t="s">
        <v>954</v>
      </c>
      <c r="AL51" s="71">
        <v>10.0</v>
      </c>
      <c r="AM51" s="71" t="s">
        <v>954</v>
      </c>
      <c r="AN51" s="72" t="s">
        <v>78</v>
      </c>
      <c r="AO51" s="71" t="s">
        <v>954</v>
      </c>
      <c r="AP51" s="71" t="s">
        <v>83</v>
      </c>
      <c r="AQ51" s="71" t="s">
        <v>954</v>
      </c>
      <c r="AR51" s="71" t="s">
        <v>954</v>
      </c>
      <c r="AS51" s="74" t="s">
        <v>1035</v>
      </c>
      <c r="AT51" s="75" t="s">
        <v>1036</v>
      </c>
      <c r="AU51" s="75" t="s">
        <v>1037</v>
      </c>
      <c r="AV51" s="18" t="s">
        <v>83</v>
      </c>
      <c r="AW51" s="11" t="s">
        <v>84</v>
      </c>
      <c r="AX51" s="18" t="s">
        <v>176</v>
      </c>
      <c r="AY51" s="66" t="s">
        <v>86</v>
      </c>
      <c r="AZ51" s="76"/>
      <c r="BA51" s="77"/>
      <c r="BB51" s="77"/>
      <c r="BC51" s="77"/>
      <c r="BD51" s="77"/>
      <c r="BE51" s="77"/>
      <c r="BF51" s="77"/>
      <c r="BG51" s="77"/>
      <c r="BH51" s="77"/>
      <c r="BI51" s="77"/>
      <c r="BJ51" s="77"/>
      <c r="BK51" s="77"/>
      <c r="BL51" s="77"/>
    </row>
    <row r="52" ht="15.75" customHeight="1">
      <c r="A52" s="69" t="s">
        <v>1038</v>
      </c>
      <c r="B52" s="71" t="s">
        <v>1039</v>
      </c>
      <c r="C52" s="71" t="s">
        <v>1040</v>
      </c>
      <c r="D52" s="71">
        <v>2024.0</v>
      </c>
      <c r="E52" s="71" t="s">
        <v>1041</v>
      </c>
      <c r="F52" s="71" t="s">
        <v>1042</v>
      </c>
      <c r="G52" s="71" t="s">
        <v>1043</v>
      </c>
      <c r="H52" s="72" t="s">
        <v>160</v>
      </c>
      <c r="I52" s="72" t="s">
        <v>505</v>
      </c>
      <c r="J52" s="72" t="s">
        <v>161</v>
      </c>
      <c r="K52" s="72" t="s">
        <v>63</v>
      </c>
      <c r="L52" s="72" t="s">
        <v>163</v>
      </c>
      <c r="M52" s="72" t="s">
        <v>164</v>
      </c>
      <c r="N52" s="71" t="s">
        <v>954</v>
      </c>
      <c r="O52" s="71" t="s">
        <v>954</v>
      </c>
      <c r="P52" s="72" t="s">
        <v>64</v>
      </c>
      <c r="Q52" s="71" t="s">
        <v>954</v>
      </c>
      <c r="R52" s="71" t="s">
        <v>954</v>
      </c>
      <c r="S52" s="72" t="s">
        <v>63</v>
      </c>
      <c r="T52" s="71" t="s">
        <v>954</v>
      </c>
      <c r="U52" s="72" t="s">
        <v>187</v>
      </c>
      <c r="V52" s="71" t="s">
        <v>1044</v>
      </c>
      <c r="W52" s="71" t="s">
        <v>83</v>
      </c>
      <c r="X52" s="71" t="s">
        <v>954</v>
      </c>
      <c r="Y52" s="71" t="s">
        <v>954</v>
      </c>
      <c r="Z52" s="71" t="s">
        <v>954</v>
      </c>
      <c r="AA52" s="71" t="s">
        <v>954</v>
      </c>
      <c r="AB52" s="71" t="s">
        <v>954</v>
      </c>
      <c r="AC52" s="71" t="s">
        <v>959</v>
      </c>
      <c r="AD52" s="72" t="s">
        <v>75</v>
      </c>
      <c r="AE52" s="71" t="s">
        <v>1045</v>
      </c>
      <c r="AF52" s="81">
        <v>0.69</v>
      </c>
      <c r="AG52" s="71" t="s">
        <v>954</v>
      </c>
      <c r="AH52" s="71" t="s">
        <v>954</v>
      </c>
      <c r="AI52" s="71" t="s">
        <v>954</v>
      </c>
      <c r="AJ52" s="71" t="s">
        <v>954</v>
      </c>
      <c r="AK52" s="71" t="s">
        <v>954</v>
      </c>
      <c r="AL52" s="71" t="s">
        <v>954</v>
      </c>
      <c r="AM52" s="71" t="s">
        <v>954</v>
      </c>
      <c r="AN52" s="72" t="s">
        <v>235</v>
      </c>
      <c r="AO52" s="71" t="s">
        <v>954</v>
      </c>
      <c r="AP52" s="71" t="s">
        <v>83</v>
      </c>
      <c r="AQ52" s="71" t="s">
        <v>954</v>
      </c>
      <c r="AR52" s="71" t="s">
        <v>954</v>
      </c>
      <c r="AS52" s="74" t="s">
        <v>1046</v>
      </c>
      <c r="AT52" s="75" t="s">
        <v>1047</v>
      </c>
      <c r="AU52" s="82" t="s">
        <v>1048</v>
      </c>
      <c r="AV52" s="18" t="s">
        <v>83</v>
      </c>
      <c r="AW52" s="11" t="s">
        <v>84</v>
      </c>
      <c r="AX52" s="18" t="s">
        <v>176</v>
      </c>
      <c r="AY52" s="66" t="s">
        <v>86</v>
      </c>
      <c r="AZ52" s="76"/>
      <c r="BA52" s="77"/>
      <c r="BB52" s="77"/>
      <c r="BC52" s="77"/>
      <c r="BD52" s="77"/>
      <c r="BE52" s="77"/>
      <c r="BF52" s="77"/>
      <c r="BG52" s="77"/>
      <c r="BH52" s="77"/>
      <c r="BI52" s="77"/>
      <c r="BJ52" s="77"/>
      <c r="BK52" s="77"/>
      <c r="BL52" s="77"/>
    </row>
    <row r="53" ht="15.75" customHeight="1">
      <c r="A53" s="69" t="s">
        <v>1049</v>
      </c>
      <c r="B53" s="70" t="s">
        <v>1050</v>
      </c>
      <c r="C53" s="71" t="s">
        <v>1051</v>
      </c>
      <c r="D53" s="71">
        <v>2023.0</v>
      </c>
      <c r="E53" s="71" t="s">
        <v>1051</v>
      </c>
      <c r="F53" s="71" t="s">
        <v>1052</v>
      </c>
      <c r="G53" s="71" t="s">
        <v>953</v>
      </c>
      <c r="H53" s="72" t="s">
        <v>160</v>
      </c>
      <c r="I53" s="72" t="s">
        <v>505</v>
      </c>
      <c r="J53" s="72" t="s">
        <v>161</v>
      </c>
      <c r="K53" s="72" t="s">
        <v>63</v>
      </c>
      <c r="L53" s="72" t="s">
        <v>163</v>
      </c>
      <c r="M53" s="72" t="s">
        <v>164</v>
      </c>
      <c r="N53" s="71" t="s">
        <v>954</v>
      </c>
      <c r="O53" s="71" t="s">
        <v>954</v>
      </c>
      <c r="P53" s="72" t="s">
        <v>64</v>
      </c>
      <c r="Q53" s="71" t="s">
        <v>1053</v>
      </c>
      <c r="R53" s="71" t="s">
        <v>954</v>
      </c>
      <c r="S53" s="72" t="s">
        <v>63</v>
      </c>
      <c r="T53" s="71" t="s">
        <v>954</v>
      </c>
      <c r="U53" s="72" t="s">
        <v>187</v>
      </c>
      <c r="V53" s="71" t="s">
        <v>1054</v>
      </c>
      <c r="W53" s="71" t="s">
        <v>954</v>
      </c>
      <c r="X53" s="71" t="s">
        <v>954</v>
      </c>
      <c r="Y53" s="71" t="s">
        <v>954</v>
      </c>
      <c r="Z53" s="71" t="s">
        <v>954</v>
      </c>
      <c r="AA53" s="71" t="s">
        <v>958</v>
      </c>
      <c r="AB53" s="71" t="s">
        <v>1007</v>
      </c>
      <c r="AC53" s="71" t="s">
        <v>959</v>
      </c>
      <c r="AD53" s="72" t="s">
        <v>75</v>
      </c>
      <c r="AE53" s="71" t="s">
        <v>76</v>
      </c>
      <c r="AF53" s="81">
        <v>0.8</v>
      </c>
      <c r="AG53" s="71">
        <v>9.7</v>
      </c>
      <c r="AH53" s="71" t="s">
        <v>954</v>
      </c>
      <c r="AI53" s="71">
        <v>25.0</v>
      </c>
      <c r="AJ53" s="71" t="s">
        <v>954</v>
      </c>
      <c r="AK53" s="71" t="s">
        <v>954</v>
      </c>
      <c r="AL53" s="71" t="s">
        <v>954</v>
      </c>
      <c r="AM53" s="71" t="s">
        <v>954</v>
      </c>
      <c r="AN53" s="72" t="s">
        <v>78</v>
      </c>
      <c r="AO53" s="71" t="s">
        <v>954</v>
      </c>
      <c r="AP53" s="71" t="s">
        <v>83</v>
      </c>
      <c r="AQ53" s="71" t="s">
        <v>954</v>
      </c>
      <c r="AR53" s="71" t="s">
        <v>954</v>
      </c>
      <c r="AS53" s="74" t="s">
        <v>1055</v>
      </c>
      <c r="AT53" s="75" t="s">
        <v>1056</v>
      </c>
      <c r="AU53" s="75" t="s">
        <v>1057</v>
      </c>
      <c r="AV53" s="18" t="s">
        <v>83</v>
      </c>
      <c r="AW53" s="11" t="s">
        <v>84</v>
      </c>
      <c r="AX53" s="18" t="s">
        <v>176</v>
      </c>
      <c r="AY53" s="66" t="s">
        <v>86</v>
      </c>
      <c r="AZ53" s="76"/>
      <c r="BA53" s="77"/>
      <c r="BB53" s="77"/>
      <c r="BC53" s="77"/>
      <c r="BD53" s="77"/>
      <c r="BE53" s="77"/>
      <c r="BF53" s="77"/>
      <c r="BG53" s="77"/>
      <c r="BH53" s="77"/>
      <c r="BI53" s="77"/>
      <c r="BJ53" s="77"/>
      <c r="BK53" s="77"/>
      <c r="BL53" s="77"/>
    </row>
    <row r="54" ht="15.75" customHeight="1">
      <c r="A54" s="69" t="s">
        <v>1058</v>
      </c>
      <c r="B54" s="70" t="s">
        <v>1059</v>
      </c>
      <c r="C54" s="71" t="s">
        <v>1060</v>
      </c>
      <c r="D54" s="71">
        <v>2025.0</v>
      </c>
      <c r="E54" s="71" t="s">
        <v>1060</v>
      </c>
      <c r="F54" s="71" t="s">
        <v>1061</v>
      </c>
      <c r="G54" s="71" t="s">
        <v>1062</v>
      </c>
      <c r="H54" s="72" t="s">
        <v>160</v>
      </c>
      <c r="I54" s="72" t="s">
        <v>505</v>
      </c>
      <c r="J54" s="72" t="s">
        <v>161</v>
      </c>
      <c r="K54" s="72" t="s">
        <v>63</v>
      </c>
      <c r="L54" s="72" t="s">
        <v>163</v>
      </c>
      <c r="M54" s="72" t="s">
        <v>164</v>
      </c>
      <c r="N54" s="71" t="s">
        <v>954</v>
      </c>
      <c r="O54" s="71" t="s">
        <v>954</v>
      </c>
      <c r="P54" s="72" t="s">
        <v>64</v>
      </c>
      <c r="Q54" s="71" t="s">
        <v>1063</v>
      </c>
      <c r="R54" s="71" t="s">
        <v>954</v>
      </c>
      <c r="S54" s="72" t="s">
        <v>63</v>
      </c>
      <c r="T54" s="71" t="s">
        <v>1064</v>
      </c>
      <c r="U54" s="72" t="s">
        <v>99</v>
      </c>
      <c r="V54" s="71" t="s">
        <v>954</v>
      </c>
      <c r="W54" s="71" t="s">
        <v>954</v>
      </c>
      <c r="X54" s="71" t="s">
        <v>954</v>
      </c>
      <c r="Y54" s="71" t="s">
        <v>954</v>
      </c>
      <c r="Z54" s="71" t="s">
        <v>954</v>
      </c>
      <c r="AA54" s="71" t="s">
        <v>958</v>
      </c>
      <c r="AB54" s="71" t="s">
        <v>954</v>
      </c>
      <c r="AC54" s="71" t="s">
        <v>959</v>
      </c>
      <c r="AD54" s="72" t="s">
        <v>75</v>
      </c>
      <c r="AE54" s="71" t="s">
        <v>76</v>
      </c>
      <c r="AF54" s="81">
        <v>0.95</v>
      </c>
      <c r="AG54" s="71">
        <v>64.0</v>
      </c>
      <c r="AH54" s="71" t="s">
        <v>954</v>
      </c>
      <c r="AI54" s="71">
        <v>18.85</v>
      </c>
      <c r="AJ54" s="71" t="s">
        <v>954</v>
      </c>
      <c r="AK54" s="71" t="s">
        <v>954</v>
      </c>
      <c r="AL54" s="71" t="s">
        <v>954</v>
      </c>
      <c r="AM54" s="71" t="s">
        <v>954</v>
      </c>
      <c r="AN54" s="72" t="s">
        <v>78</v>
      </c>
      <c r="AO54" s="71" t="s">
        <v>954</v>
      </c>
      <c r="AP54" s="71" t="s">
        <v>83</v>
      </c>
      <c r="AQ54" s="71" t="s">
        <v>954</v>
      </c>
      <c r="AR54" s="71" t="s">
        <v>954</v>
      </c>
      <c r="AS54" s="74" t="s">
        <v>1065</v>
      </c>
      <c r="AT54" s="75" t="s">
        <v>1066</v>
      </c>
      <c r="AU54" s="75" t="s">
        <v>1067</v>
      </c>
      <c r="AV54" s="18" t="s">
        <v>83</v>
      </c>
      <c r="AW54" s="11" t="s">
        <v>84</v>
      </c>
      <c r="AX54" s="18" t="s">
        <v>176</v>
      </c>
      <c r="AY54" s="66" t="s">
        <v>86</v>
      </c>
      <c r="AZ54" s="76"/>
      <c r="BA54" s="77"/>
      <c r="BB54" s="77"/>
      <c r="BC54" s="77"/>
      <c r="BD54" s="77"/>
      <c r="BE54" s="77"/>
      <c r="BF54" s="77"/>
      <c r="BG54" s="77"/>
      <c r="BH54" s="77"/>
      <c r="BI54" s="77"/>
      <c r="BJ54" s="77"/>
      <c r="BK54" s="77"/>
      <c r="BL54" s="77"/>
    </row>
    <row r="55" ht="15.75" customHeight="1">
      <c r="A55" s="69" t="s">
        <v>1068</v>
      </c>
      <c r="B55" s="70" t="s">
        <v>1069</v>
      </c>
      <c r="C55" s="71" t="s">
        <v>1070</v>
      </c>
      <c r="D55" s="71">
        <v>2025.0</v>
      </c>
      <c r="E55" s="71" t="s">
        <v>1070</v>
      </c>
      <c r="F55" s="71" t="s">
        <v>1071</v>
      </c>
      <c r="G55" s="71" t="s">
        <v>1072</v>
      </c>
      <c r="H55" s="72" t="s">
        <v>160</v>
      </c>
      <c r="I55" s="72" t="s">
        <v>505</v>
      </c>
      <c r="J55" s="72" t="s">
        <v>308</v>
      </c>
      <c r="K55" s="72" t="s">
        <v>63</v>
      </c>
      <c r="L55" s="72" t="s">
        <v>163</v>
      </c>
      <c r="M55" s="72" t="s">
        <v>164</v>
      </c>
      <c r="N55" s="71" t="s">
        <v>954</v>
      </c>
      <c r="O55" s="71" t="s">
        <v>954</v>
      </c>
      <c r="P55" s="72" t="s">
        <v>64</v>
      </c>
      <c r="Q55" s="71" t="s">
        <v>608</v>
      </c>
      <c r="R55" s="71" t="s">
        <v>954</v>
      </c>
      <c r="S55" s="72" t="s">
        <v>63</v>
      </c>
      <c r="T55" s="71" t="s">
        <v>1027</v>
      </c>
      <c r="U55" s="72" t="s">
        <v>187</v>
      </c>
      <c r="V55" s="71" t="s">
        <v>1073</v>
      </c>
      <c r="W55" s="71" t="s">
        <v>954</v>
      </c>
      <c r="X55" s="71" t="s">
        <v>954</v>
      </c>
      <c r="Y55" s="71" t="s">
        <v>954</v>
      </c>
      <c r="Z55" s="71" t="s">
        <v>954</v>
      </c>
      <c r="AA55" s="71" t="s">
        <v>958</v>
      </c>
      <c r="AB55" s="71" t="s">
        <v>954</v>
      </c>
      <c r="AC55" s="71" t="s">
        <v>959</v>
      </c>
      <c r="AD55" s="72" t="s">
        <v>75</v>
      </c>
      <c r="AE55" s="71" t="s">
        <v>76</v>
      </c>
      <c r="AF55" s="81">
        <v>0.8</v>
      </c>
      <c r="AG55" s="71">
        <v>676.4</v>
      </c>
      <c r="AH55" s="71" t="s">
        <v>954</v>
      </c>
      <c r="AI55" s="71" t="s">
        <v>954</v>
      </c>
      <c r="AJ55" s="71" t="s">
        <v>954</v>
      </c>
      <c r="AK55" s="71" t="s">
        <v>954</v>
      </c>
      <c r="AL55" s="71" t="s">
        <v>954</v>
      </c>
      <c r="AM55" s="71" t="s">
        <v>954</v>
      </c>
      <c r="AN55" s="72" t="s">
        <v>78</v>
      </c>
      <c r="AO55" s="71" t="s">
        <v>954</v>
      </c>
      <c r="AP55" s="71" t="s">
        <v>83</v>
      </c>
      <c r="AQ55" s="71" t="s">
        <v>954</v>
      </c>
      <c r="AR55" s="71" t="s">
        <v>954</v>
      </c>
      <c r="AS55" s="74" t="s">
        <v>1074</v>
      </c>
      <c r="AT55" s="75" t="s">
        <v>1075</v>
      </c>
      <c r="AU55" s="75" t="s">
        <v>1076</v>
      </c>
      <c r="AV55" s="18" t="s">
        <v>83</v>
      </c>
      <c r="AW55" s="11" t="s">
        <v>84</v>
      </c>
      <c r="AX55" s="18" t="s">
        <v>176</v>
      </c>
      <c r="AY55" s="66" t="s">
        <v>86</v>
      </c>
      <c r="AZ55" s="76"/>
      <c r="BA55" s="77"/>
      <c r="BB55" s="77"/>
      <c r="BC55" s="77"/>
      <c r="BD55" s="77"/>
      <c r="BE55" s="77"/>
      <c r="BF55" s="77"/>
      <c r="BG55" s="77"/>
      <c r="BH55" s="77"/>
      <c r="BI55" s="77"/>
      <c r="BJ55" s="77"/>
      <c r="BK55" s="77"/>
      <c r="BL55" s="77"/>
    </row>
    <row r="56" ht="15.75" customHeight="1">
      <c r="A56" s="31" t="s">
        <v>1077</v>
      </c>
      <c r="B56" s="18" t="s">
        <v>1078</v>
      </c>
      <c r="C56" s="83" t="s">
        <v>1079</v>
      </c>
      <c r="D56" s="18">
        <v>2021.0</v>
      </c>
      <c r="E56" s="18" t="s">
        <v>502</v>
      </c>
      <c r="F56" s="18" t="s">
        <v>1080</v>
      </c>
      <c r="G56" s="18" t="s">
        <v>1081</v>
      </c>
      <c r="H56" s="15" t="s">
        <v>480</v>
      </c>
      <c r="I56" s="15" t="s">
        <v>142</v>
      </c>
      <c r="J56" s="15" t="s">
        <v>481</v>
      </c>
      <c r="K56" s="15" t="s">
        <v>63</v>
      </c>
      <c r="L56" s="15" t="s">
        <v>94</v>
      </c>
      <c r="M56" s="15" t="s">
        <v>95</v>
      </c>
      <c r="N56" s="18" t="s">
        <v>954</v>
      </c>
      <c r="O56" s="18" t="s">
        <v>954</v>
      </c>
      <c r="P56" s="15" t="s">
        <v>64</v>
      </c>
      <c r="Q56" s="18" t="s">
        <v>1082</v>
      </c>
      <c r="R56" s="18" t="s">
        <v>954</v>
      </c>
      <c r="S56" s="15" t="s">
        <v>228</v>
      </c>
      <c r="T56" s="18" t="s">
        <v>212</v>
      </c>
      <c r="U56" s="15" t="s">
        <v>69</v>
      </c>
      <c r="V56" s="18" t="s">
        <v>1083</v>
      </c>
      <c r="W56" s="18" t="s">
        <v>83</v>
      </c>
      <c r="X56" s="18" t="s">
        <v>954</v>
      </c>
      <c r="Y56" s="18" t="s">
        <v>954</v>
      </c>
      <c r="Z56" s="18" t="s">
        <v>954</v>
      </c>
      <c r="AA56" s="18" t="s">
        <v>1084</v>
      </c>
      <c r="AB56" s="18" t="s">
        <v>1085</v>
      </c>
      <c r="AC56" s="18" t="s">
        <v>954</v>
      </c>
      <c r="AD56" s="15" t="s">
        <v>75</v>
      </c>
      <c r="AE56" s="18" t="s">
        <v>76</v>
      </c>
      <c r="AF56" s="18" t="s">
        <v>954</v>
      </c>
      <c r="AG56" s="18" t="s">
        <v>1086</v>
      </c>
      <c r="AH56" s="18" t="s">
        <v>1086</v>
      </c>
      <c r="AI56" s="18" t="s">
        <v>954</v>
      </c>
      <c r="AJ56" s="18" t="s">
        <v>954</v>
      </c>
      <c r="AK56" s="18" t="s">
        <v>1086</v>
      </c>
      <c r="AL56" s="18" t="s">
        <v>1086</v>
      </c>
      <c r="AM56" s="18" t="s">
        <v>1086</v>
      </c>
      <c r="AN56" s="15" t="s">
        <v>235</v>
      </c>
      <c r="AO56" s="18" t="s">
        <v>954</v>
      </c>
      <c r="AP56" s="18" t="s">
        <v>75</v>
      </c>
      <c r="AQ56" s="18" t="s">
        <v>83</v>
      </c>
      <c r="AR56" s="83" t="s">
        <v>1087</v>
      </c>
      <c r="AS56" s="29" t="s">
        <v>1079</v>
      </c>
      <c r="AT56" s="18" t="s">
        <v>1088</v>
      </c>
      <c r="AU56" s="18" t="s">
        <v>1089</v>
      </c>
      <c r="AV56" s="18" t="s">
        <v>83</v>
      </c>
      <c r="AW56" s="11" t="s">
        <v>84</v>
      </c>
      <c r="AX56" s="18" t="s">
        <v>498</v>
      </c>
      <c r="AY56" s="19" t="s">
        <v>86</v>
      </c>
      <c r="AZ56" s="20"/>
      <c r="BA56" s="24"/>
      <c r="BB56" s="24"/>
      <c r="BC56" s="24"/>
      <c r="BD56" s="24"/>
      <c r="BE56" s="24"/>
      <c r="BF56" s="24"/>
      <c r="BG56" s="24"/>
      <c r="BH56" s="24"/>
      <c r="BI56" s="24"/>
      <c r="BJ56" s="24"/>
      <c r="BK56" s="24"/>
      <c r="BL56" s="24"/>
    </row>
    <row r="57" ht="15.75" customHeight="1">
      <c r="A57" s="31" t="s">
        <v>1090</v>
      </c>
      <c r="B57" s="18" t="s">
        <v>1091</v>
      </c>
      <c r="C57" s="83" t="s">
        <v>1092</v>
      </c>
      <c r="D57" s="18">
        <v>2022.0</v>
      </c>
      <c r="E57" s="18" t="s">
        <v>1093</v>
      </c>
      <c r="F57" s="18" t="s">
        <v>1094</v>
      </c>
      <c r="G57" s="18" t="s">
        <v>1095</v>
      </c>
      <c r="H57" s="15" t="s">
        <v>480</v>
      </c>
      <c r="I57" s="15" t="s">
        <v>142</v>
      </c>
      <c r="J57" s="15" t="s">
        <v>481</v>
      </c>
      <c r="K57" s="15" t="s">
        <v>63</v>
      </c>
      <c r="L57" s="15" t="s">
        <v>94</v>
      </c>
      <c r="M57" s="15" t="s">
        <v>95</v>
      </c>
      <c r="N57" s="18">
        <v>100.0</v>
      </c>
      <c r="O57" s="18">
        <v>4.0</v>
      </c>
      <c r="P57" s="15" t="s">
        <v>64</v>
      </c>
      <c r="Q57" s="18" t="s">
        <v>1096</v>
      </c>
      <c r="R57" s="18" t="s">
        <v>954</v>
      </c>
      <c r="S57" s="15" t="s">
        <v>228</v>
      </c>
      <c r="T57" s="18" t="s">
        <v>1097</v>
      </c>
      <c r="U57" s="15" t="s">
        <v>187</v>
      </c>
      <c r="V57" s="18" t="s">
        <v>1098</v>
      </c>
      <c r="W57" s="18" t="s">
        <v>83</v>
      </c>
      <c r="X57" s="18" t="s">
        <v>954</v>
      </c>
      <c r="Y57" s="18" t="s">
        <v>954</v>
      </c>
      <c r="Z57" s="18" t="s">
        <v>954</v>
      </c>
      <c r="AA57" s="18" t="s">
        <v>1099</v>
      </c>
      <c r="AB57" s="18" t="s">
        <v>1100</v>
      </c>
      <c r="AC57" s="18" t="s">
        <v>954</v>
      </c>
      <c r="AD57" s="15" t="s">
        <v>75</v>
      </c>
      <c r="AE57" s="18" t="s">
        <v>1101</v>
      </c>
      <c r="AF57" s="18" t="s">
        <v>1086</v>
      </c>
      <c r="AG57" s="18" t="s">
        <v>1086</v>
      </c>
      <c r="AH57" s="18" t="s">
        <v>954</v>
      </c>
      <c r="AI57" s="18" t="s">
        <v>954</v>
      </c>
      <c r="AJ57" s="18" t="s">
        <v>954</v>
      </c>
      <c r="AK57" s="18" t="s">
        <v>1086</v>
      </c>
      <c r="AL57" s="18" t="s">
        <v>954</v>
      </c>
      <c r="AM57" s="18" t="s">
        <v>1086</v>
      </c>
      <c r="AN57" s="15" t="s">
        <v>235</v>
      </c>
      <c r="AO57" s="18" t="s">
        <v>954</v>
      </c>
      <c r="AP57" s="18" t="s">
        <v>75</v>
      </c>
      <c r="AQ57" s="18" t="s">
        <v>75</v>
      </c>
      <c r="AR57" s="18" t="s">
        <v>954</v>
      </c>
      <c r="AS57" s="29" t="s">
        <v>1102</v>
      </c>
      <c r="AT57" s="18" t="s">
        <v>1103</v>
      </c>
      <c r="AU57" s="18" t="s">
        <v>1104</v>
      </c>
      <c r="AV57" s="18" t="s">
        <v>83</v>
      </c>
      <c r="AW57" s="11" t="s">
        <v>84</v>
      </c>
      <c r="AX57" s="18" t="s">
        <v>498</v>
      </c>
      <c r="AY57" s="19" t="s">
        <v>86</v>
      </c>
      <c r="AZ57" s="20"/>
      <c r="BA57" s="24"/>
      <c r="BB57" s="24"/>
      <c r="BC57" s="24"/>
      <c r="BD57" s="24"/>
      <c r="BE57" s="24"/>
      <c r="BF57" s="24"/>
      <c r="BG57" s="24"/>
      <c r="BH57" s="24"/>
      <c r="BI57" s="24"/>
      <c r="BJ57" s="24"/>
      <c r="BK57" s="24"/>
      <c r="BL57" s="24"/>
    </row>
    <row r="58" ht="15.75" customHeight="1">
      <c r="A58" s="31" t="s">
        <v>1105</v>
      </c>
      <c r="B58" s="18" t="s">
        <v>1106</v>
      </c>
      <c r="C58" s="83" t="s">
        <v>1107</v>
      </c>
      <c r="D58" s="18">
        <v>2020.0</v>
      </c>
      <c r="E58" s="18" t="s">
        <v>1108</v>
      </c>
      <c r="F58" s="18" t="s">
        <v>1109</v>
      </c>
      <c r="G58" s="18" t="s">
        <v>1110</v>
      </c>
      <c r="H58" s="15" t="s">
        <v>480</v>
      </c>
      <c r="I58" s="15" t="s">
        <v>142</v>
      </c>
      <c r="J58" s="15" t="s">
        <v>481</v>
      </c>
      <c r="K58" s="15" t="s">
        <v>63</v>
      </c>
      <c r="L58" s="15" t="s">
        <v>94</v>
      </c>
      <c r="M58" s="15" t="s">
        <v>95</v>
      </c>
      <c r="N58" s="18" t="s">
        <v>954</v>
      </c>
      <c r="O58" s="18" t="s">
        <v>954</v>
      </c>
      <c r="P58" s="15" t="s">
        <v>64</v>
      </c>
      <c r="Q58" s="18" t="s">
        <v>1111</v>
      </c>
      <c r="R58" s="18" t="s">
        <v>954</v>
      </c>
      <c r="S58" s="15" t="s">
        <v>228</v>
      </c>
      <c r="T58" s="18" t="s">
        <v>1112</v>
      </c>
      <c r="U58" s="15" t="s">
        <v>187</v>
      </c>
      <c r="V58" s="18" t="s">
        <v>1113</v>
      </c>
      <c r="W58" s="18" t="s">
        <v>83</v>
      </c>
      <c r="X58" s="18" t="s">
        <v>954</v>
      </c>
      <c r="Y58" s="18" t="s">
        <v>954</v>
      </c>
      <c r="Z58" s="18" t="s">
        <v>83</v>
      </c>
      <c r="AA58" s="18" t="s">
        <v>1114</v>
      </c>
      <c r="AB58" s="18" t="s">
        <v>1114</v>
      </c>
      <c r="AC58" s="18" t="s">
        <v>954</v>
      </c>
      <c r="AD58" s="15" t="s">
        <v>75</v>
      </c>
      <c r="AE58" s="18" t="s">
        <v>76</v>
      </c>
      <c r="AF58" s="57">
        <v>0.707</v>
      </c>
      <c r="AG58" s="18" t="s">
        <v>954</v>
      </c>
      <c r="AH58" s="18" t="s">
        <v>954</v>
      </c>
      <c r="AI58" s="18" t="s">
        <v>954</v>
      </c>
      <c r="AJ58" s="18" t="s">
        <v>954</v>
      </c>
      <c r="AK58" s="18" t="s">
        <v>954</v>
      </c>
      <c r="AL58" s="18" t="s">
        <v>954</v>
      </c>
      <c r="AM58" s="18" t="s">
        <v>954</v>
      </c>
      <c r="AN58" s="15" t="s">
        <v>235</v>
      </c>
      <c r="AO58" s="18" t="s">
        <v>954</v>
      </c>
      <c r="AP58" s="18" t="s">
        <v>83</v>
      </c>
      <c r="AQ58" s="18" t="s">
        <v>83</v>
      </c>
      <c r="AR58" s="83" t="s">
        <v>1115</v>
      </c>
      <c r="AS58" s="83" t="s">
        <v>1116</v>
      </c>
      <c r="AT58" s="18" t="s">
        <v>1117</v>
      </c>
      <c r="AU58" s="18" t="s">
        <v>1118</v>
      </c>
      <c r="AV58" s="18" t="s">
        <v>83</v>
      </c>
      <c r="AW58" s="11" t="s">
        <v>84</v>
      </c>
      <c r="AX58" s="18" t="s">
        <v>498</v>
      </c>
      <c r="AY58" s="19" t="s">
        <v>565</v>
      </c>
      <c r="AZ58" s="20"/>
      <c r="BA58" s="24"/>
      <c r="BB58" s="24"/>
      <c r="BC58" s="24"/>
      <c r="BD58" s="24"/>
      <c r="BE58" s="24"/>
      <c r="BF58" s="24"/>
      <c r="BG58" s="24"/>
      <c r="BH58" s="24"/>
      <c r="BI58" s="24"/>
      <c r="BJ58" s="24"/>
      <c r="BK58" s="24"/>
      <c r="BL58" s="24"/>
    </row>
    <row r="59" ht="15.75" customHeight="1">
      <c r="A59" s="31" t="s">
        <v>1119</v>
      </c>
      <c r="B59" s="18" t="s">
        <v>1120</v>
      </c>
      <c r="C59" s="29" t="s">
        <v>1121</v>
      </c>
      <c r="D59" s="18">
        <v>2022.0</v>
      </c>
      <c r="E59" s="18" t="s">
        <v>1122</v>
      </c>
      <c r="F59" s="18" t="s">
        <v>1123</v>
      </c>
      <c r="G59" s="18" t="s">
        <v>1124</v>
      </c>
      <c r="H59" s="15" t="s">
        <v>480</v>
      </c>
      <c r="I59" s="15" t="s">
        <v>63</v>
      </c>
      <c r="J59" s="15" t="s">
        <v>63</v>
      </c>
      <c r="K59" s="15" t="s">
        <v>63</v>
      </c>
      <c r="L59" s="15" t="s">
        <v>63</v>
      </c>
      <c r="M59" s="15" t="s">
        <v>63</v>
      </c>
      <c r="N59" s="18" t="s">
        <v>954</v>
      </c>
      <c r="O59" s="18" t="s">
        <v>954</v>
      </c>
      <c r="P59" s="15" t="s">
        <v>64</v>
      </c>
      <c r="Q59" s="18" t="s">
        <v>954</v>
      </c>
      <c r="R59" s="18" t="s">
        <v>954</v>
      </c>
      <c r="S59" s="15" t="s">
        <v>63</v>
      </c>
      <c r="T59" s="18" t="s">
        <v>954</v>
      </c>
      <c r="U59" s="15" t="s">
        <v>63</v>
      </c>
      <c r="V59" s="18" t="s">
        <v>954</v>
      </c>
      <c r="W59" s="18" t="s">
        <v>954</v>
      </c>
      <c r="X59" s="18" t="s">
        <v>954</v>
      </c>
      <c r="Y59" s="18" t="s">
        <v>954</v>
      </c>
      <c r="Z59" s="18" t="s">
        <v>954</v>
      </c>
      <c r="AA59" s="18" t="s">
        <v>954</v>
      </c>
      <c r="AB59" s="18" t="s">
        <v>954</v>
      </c>
      <c r="AC59" s="18" t="s">
        <v>954</v>
      </c>
      <c r="AD59" s="15" t="s">
        <v>75</v>
      </c>
      <c r="AE59" s="18" t="s">
        <v>954</v>
      </c>
      <c r="AF59" s="18" t="s">
        <v>954</v>
      </c>
      <c r="AG59" s="18" t="s">
        <v>954</v>
      </c>
      <c r="AH59" s="18" t="s">
        <v>954</v>
      </c>
      <c r="AI59" s="18" t="s">
        <v>954</v>
      </c>
      <c r="AJ59" s="18" t="s">
        <v>954</v>
      </c>
      <c r="AK59" s="18" t="s">
        <v>954</v>
      </c>
      <c r="AL59" s="18" t="s">
        <v>954</v>
      </c>
      <c r="AM59" s="18" t="s">
        <v>954</v>
      </c>
      <c r="AN59" s="15" t="s">
        <v>235</v>
      </c>
      <c r="AO59" s="18" t="s">
        <v>954</v>
      </c>
      <c r="AP59" s="18" t="s">
        <v>75</v>
      </c>
      <c r="AQ59" s="18" t="s">
        <v>75</v>
      </c>
      <c r="AR59" s="18" t="s">
        <v>954</v>
      </c>
      <c r="AS59" s="83" t="s">
        <v>1125</v>
      </c>
      <c r="AT59" s="18" t="s">
        <v>1126</v>
      </c>
      <c r="AU59" s="18" t="s">
        <v>1127</v>
      </c>
      <c r="AV59" s="18" t="s">
        <v>83</v>
      </c>
      <c r="AW59" s="11" t="s">
        <v>84</v>
      </c>
      <c r="AX59" s="18" t="s">
        <v>498</v>
      </c>
      <c r="AY59" s="19" t="s">
        <v>565</v>
      </c>
      <c r="AZ59" s="20"/>
      <c r="BA59" s="24"/>
      <c r="BB59" s="24"/>
      <c r="BC59" s="24"/>
      <c r="BD59" s="24"/>
      <c r="BE59" s="24"/>
      <c r="BF59" s="24"/>
      <c r="BG59" s="24"/>
      <c r="BH59" s="24"/>
      <c r="BI59" s="24"/>
      <c r="BJ59" s="24"/>
      <c r="BK59" s="24"/>
      <c r="BL59" s="24"/>
    </row>
    <row r="60" ht="15.75" customHeight="1">
      <c r="A60" s="84" t="s">
        <v>1128</v>
      </c>
      <c r="B60" s="85" t="s">
        <v>1129</v>
      </c>
      <c r="C60" s="85" t="s">
        <v>1130</v>
      </c>
      <c r="D60" s="85">
        <v>2025.0</v>
      </c>
      <c r="E60" s="85" t="s">
        <v>1131</v>
      </c>
      <c r="F60" s="85" t="s">
        <v>1132</v>
      </c>
      <c r="G60" s="85" t="s">
        <v>1133</v>
      </c>
      <c r="H60" s="64" t="s">
        <v>57</v>
      </c>
      <c r="I60" s="64" t="s">
        <v>505</v>
      </c>
      <c r="J60" s="64" t="s">
        <v>59</v>
      </c>
      <c r="K60" s="64" t="s">
        <v>93</v>
      </c>
      <c r="L60" s="64" t="s">
        <v>61</v>
      </c>
      <c r="M60" s="64" t="s">
        <v>62</v>
      </c>
      <c r="N60" s="85" t="s">
        <v>1134</v>
      </c>
      <c r="O60" s="85" t="s">
        <v>1135</v>
      </c>
      <c r="P60" s="64" t="s">
        <v>64</v>
      </c>
      <c r="Q60" s="85" t="s">
        <v>1136</v>
      </c>
      <c r="R60" s="85" t="s">
        <v>1137</v>
      </c>
      <c r="S60" s="64" t="s">
        <v>228</v>
      </c>
      <c r="T60" s="85" t="s">
        <v>1138</v>
      </c>
      <c r="U60" s="64" t="s">
        <v>69</v>
      </c>
      <c r="V60" s="85" t="s">
        <v>1139</v>
      </c>
      <c r="W60" s="85" t="s">
        <v>1140</v>
      </c>
      <c r="X60" s="85" t="s">
        <v>1141</v>
      </c>
      <c r="Y60" s="85" t="s">
        <v>75</v>
      </c>
      <c r="Z60" s="85" t="s">
        <v>75</v>
      </c>
      <c r="AA60" s="85" t="s">
        <v>1142</v>
      </c>
      <c r="AB60" s="85" t="s">
        <v>1143</v>
      </c>
      <c r="AC60" s="85" t="s">
        <v>75</v>
      </c>
      <c r="AD60" s="64" t="s">
        <v>75</v>
      </c>
      <c r="AE60" s="85" t="s">
        <v>1144</v>
      </c>
      <c r="AF60" s="85" t="s">
        <v>1145</v>
      </c>
      <c r="AG60" s="85" t="s">
        <v>1146</v>
      </c>
      <c r="AH60" s="85" t="s">
        <v>1147</v>
      </c>
      <c r="AI60" s="85" t="s">
        <v>1148</v>
      </c>
      <c r="AJ60" s="85" t="s">
        <v>1149</v>
      </c>
      <c r="AK60" s="85" t="s">
        <v>1150</v>
      </c>
      <c r="AL60" s="85" t="s">
        <v>1151</v>
      </c>
      <c r="AM60" s="85" t="s">
        <v>1152</v>
      </c>
      <c r="AN60" s="64" t="s">
        <v>78</v>
      </c>
      <c r="AO60" s="85" t="s">
        <v>1153</v>
      </c>
      <c r="AP60" s="85" t="s">
        <v>1154</v>
      </c>
      <c r="AQ60" s="85" t="s">
        <v>485</v>
      </c>
      <c r="AR60" s="85" t="s">
        <v>853</v>
      </c>
      <c r="AS60" s="86" t="s">
        <v>1155</v>
      </c>
      <c r="AT60" s="18" t="s">
        <v>1156</v>
      </c>
      <c r="AU60" s="18" t="s">
        <v>1157</v>
      </c>
      <c r="AV60" s="18" t="s">
        <v>83</v>
      </c>
      <c r="AW60" s="11" t="s">
        <v>84</v>
      </c>
      <c r="AX60" s="18" t="s">
        <v>85</v>
      </c>
      <c r="AY60" s="19" t="s">
        <v>86</v>
      </c>
      <c r="AZ60" s="20"/>
      <c r="BA60" s="24"/>
      <c r="BB60" s="24"/>
      <c r="BC60" s="24"/>
      <c r="BD60" s="24"/>
      <c r="BE60" s="24"/>
      <c r="BF60" s="24"/>
      <c r="BG60" s="24"/>
      <c r="BH60" s="24"/>
      <c r="BI60" s="24"/>
      <c r="BJ60" s="24"/>
      <c r="BK60" s="24"/>
      <c r="BL60" s="24"/>
    </row>
    <row r="61" ht="15.75" customHeight="1">
      <c r="A61" s="84" t="s">
        <v>1158</v>
      </c>
      <c r="B61" s="87" t="s">
        <v>1159</v>
      </c>
      <c r="C61" s="87" t="s">
        <v>1160</v>
      </c>
      <c r="D61" s="87">
        <v>2025.0</v>
      </c>
      <c r="E61" s="87" t="s">
        <v>1161</v>
      </c>
      <c r="F61" s="88" t="s">
        <v>1162</v>
      </c>
      <c r="G61" s="87" t="s">
        <v>1163</v>
      </c>
      <c r="H61" s="64" t="s">
        <v>225</v>
      </c>
      <c r="I61" s="64" t="s">
        <v>505</v>
      </c>
      <c r="J61" s="64" t="s">
        <v>59</v>
      </c>
      <c r="K61" s="64" t="s">
        <v>93</v>
      </c>
      <c r="L61" s="64" t="s">
        <v>94</v>
      </c>
      <c r="M61" s="64" t="s">
        <v>95</v>
      </c>
      <c r="N61" s="87" t="s">
        <v>1164</v>
      </c>
      <c r="O61" s="87" t="s">
        <v>1165</v>
      </c>
      <c r="P61" s="64" t="s">
        <v>64</v>
      </c>
      <c r="Q61" s="87" t="s">
        <v>1166</v>
      </c>
      <c r="R61" s="87" t="s">
        <v>1167</v>
      </c>
      <c r="S61" s="64" t="s">
        <v>228</v>
      </c>
      <c r="T61" s="87" t="s">
        <v>1168</v>
      </c>
      <c r="U61" s="64" t="s">
        <v>99</v>
      </c>
      <c r="V61" s="87" t="s">
        <v>1169</v>
      </c>
      <c r="W61" s="87" t="s">
        <v>1170</v>
      </c>
      <c r="X61" s="87" t="s">
        <v>1171</v>
      </c>
      <c r="Y61" s="87" t="s">
        <v>75</v>
      </c>
      <c r="Z61" s="87" t="s">
        <v>75</v>
      </c>
      <c r="AA61" s="87" t="s">
        <v>1172</v>
      </c>
      <c r="AB61" s="87" t="s">
        <v>1173</v>
      </c>
      <c r="AC61" s="87" t="s">
        <v>75</v>
      </c>
      <c r="AD61" s="64" t="s">
        <v>75</v>
      </c>
      <c r="AE61" s="87" t="s">
        <v>1174</v>
      </c>
      <c r="AF61" s="87" t="s">
        <v>1175</v>
      </c>
      <c r="AG61" s="87" t="s">
        <v>1176</v>
      </c>
      <c r="AH61" s="87" t="s">
        <v>1177</v>
      </c>
      <c r="AI61" s="87" t="s">
        <v>1178</v>
      </c>
      <c r="AJ61" s="87" t="s">
        <v>1179</v>
      </c>
      <c r="AK61" s="87" t="s">
        <v>1180</v>
      </c>
      <c r="AL61" s="87" t="s">
        <v>1181</v>
      </c>
      <c r="AM61" s="87" t="s">
        <v>1182</v>
      </c>
      <c r="AN61" s="64" t="s">
        <v>106</v>
      </c>
      <c r="AO61" s="87" t="s">
        <v>1183</v>
      </c>
      <c r="AP61" s="87" t="s">
        <v>1184</v>
      </c>
      <c r="AQ61" s="87" t="s">
        <v>485</v>
      </c>
      <c r="AR61" s="87" t="s">
        <v>853</v>
      </c>
      <c r="AS61" s="89"/>
      <c r="AT61" s="18" t="s">
        <v>1185</v>
      </c>
      <c r="AU61" s="18" t="s">
        <v>1186</v>
      </c>
      <c r="AV61" s="18" t="s">
        <v>83</v>
      </c>
      <c r="AW61" s="11" t="s">
        <v>84</v>
      </c>
      <c r="AX61" s="18" t="s">
        <v>85</v>
      </c>
      <c r="AY61" s="19" t="s">
        <v>86</v>
      </c>
      <c r="AZ61" s="20"/>
      <c r="BA61" s="24"/>
      <c r="BB61" s="24"/>
      <c r="BC61" s="24"/>
      <c r="BD61" s="24"/>
      <c r="BE61" s="24"/>
      <c r="BF61" s="24"/>
      <c r="BG61" s="24"/>
      <c r="BH61" s="24"/>
      <c r="BI61" s="24"/>
      <c r="BJ61" s="24"/>
      <c r="BK61" s="24"/>
      <c r="BL61" s="24"/>
    </row>
    <row r="62" ht="18.0" customHeight="1">
      <c r="A62" s="31" t="s">
        <v>1187</v>
      </c>
      <c r="B62" s="75" t="s">
        <v>1188</v>
      </c>
      <c r="C62" s="75" t="s">
        <v>1189</v>
      </c>
      <c r="D62" s="75">
        <v>2026.0</v>
      </c>
      <c r="E62" s="75" t="s">
        <v>1190</v>
      </c>
      <c r="F62" s="75" t="s">
        <v>1191</v>
      </c>
      <c r="G62" s="75" t="s">
        <v>1192</v>
      </c>
      <c r="H62" s="15" t="s">
        <v>607</v>
      </c>
      <c r="I62" s="15" t="s">
        <v>525</v>
      </c>
      <c r="J62" s="15" t="s">
        <v>268</v>
      </c>
      <c r="K62" s="15" t="s">
        <v>60</v>
      </c>
      <c r="L62" s="15" t="s">
        <v>269</v>
      </c>
      <c r="M62" s="15" t="s">
        <v>825</v>
      </c>
      <c r="N62" s="75">
        <v>5.56E-4</v>
      </c>
      <c r="O62" s="75">
        <v>1800.0</v>
      </c>
      <c r="P62" s="90" t="s">
        <v>64</v>
      </c>
      <c r="Q62" s="91" t="s">
        <v>270</v>
      </c>
      <c r="R62" s="75" t="s">
        <v>682</v>
      </c>
      <c r="S62" s="15" t="s">
        <v>67</v>
      </c>
      <c r="T62" s="75" t="s">
        <v>1193</v>
      </c>
      <c r="U62" s="15" t="s">
        <v>99</v>
      </c>
      <c r="V62" s="75" t="s">
        <v>1194</v>
      </c>
      <c r="W62" s="75" t="s">
        <v>688</v>
      </c>
      <c r="X62" s="75" t="s">
        <v>688</v>
      </c>
      <c r="Y62" s="75" t="s">
        <v>688</v>
      </c>
      <c r="Z62" s="75" t="s">
        <v>688</v>
      </c>
      <c r="AA62" s="75" t="s">
        <v>788</v>
      </c>
      <c r="AB62" s="75" t="s">
        <v>1195</v>
      </c>
      <c r="AC62" s="75" t="s">
        <v>63</v>
      </c>
      <c r="AD62" s="15" t="s">
        <v>75</v>
      </c>
      <c r="AE62" s="75" t="s">
        <v>1196</v>
      </c>
      <c r="AF62" s="75" t="s">
        <v>1197</v>
      </c>
      <c r="AG62" s="75" t="s">
        <v>1198</v>
      </c>
      <c r="AH62" s="75" t="s">
        <v>1199</v>
      </c>
      <c r="AI62" s="75" t="s">
        <v>63</v>
      </c>
      <c r="AJ62" s="75" t="s">
        <v>63</v>
      </c>
      <c r="AK62" s="75" t="s">
        <v>63</v>
      </c>
      <c r="AL62" s="75" t="s">
        <v>63</v>
      </c>
      <c r="AM62" s="75" t="s">
        <v>63</v>
      </c>
      <c r="AN62" s="15" t="s">
        <v>235</v>
      </c>
      <c r="AO62" s="75" t="s">
        <v>1200</v>
      </c>
      <c r="AP62" s="75" t="s">
        <v>1201</v>
      </c>
      <c r="AQ62" s="75" t="s">
        <v>1196</v>
      </c>
      <c r="AR62" s="38" t="s">
        <v>63</v>
      </c>
      <c r="AS62" s="92" t="s">
        <v>1202</v>
      </c>
      <c r="AT62" s="68" t="s">
        <v>1203</v>
      </c>
      <c r="AU62" s="93" t="s">
        <v>1204</v>
      </c>
      <c r="AV62" s="18" t="s">
        <v>83</v>
      </c>
      <c r="AW62" s="11" t="s">
        <v>84</v>
      </c>
      <c r="AX62" s="38" t="s">
        <v>620</v>
      </c>
      <c r="AY62" s="19" t="s">
        <v>86</v>
      </c>
      <c r="AZ62" s="94"/>
      <c r="BA62" s="95"/>
      <c r="BB62" s="95"/>
      <c r="BC62" s="95"/>
      <c r="BD62" s="95"/>
      <c r="BE62" s="95"/>
      <c r="BF62" s="95"/>
      <c r="BG62" s="95"/>
      <c r="BH62" s="95"/>
      <c r="BI62" s="95"/>
      <c r="BJ62" s="95"/>
      <c r="BK62" s="95"/>
      <c r="BL62" s="95"/>
    </row>
    <row r="63" ht="18.0" customHeight="1">
      <c r="A63" s="31" t="s">
        <v>1205</v>
      </c>
      <c r="B63" s="75" t="s">
        <v>1206</v>
      </c>
      <c r="C63" s="75" t="s">
        <v>1207</v>
      </c>
      <c r="D63" s="75">
        <v>2025.0</v>
      </c>
      <c r="E63" s="75" t="s">
        <v>454</v>
      </c>
      <c r="F63" s="75" t="s">
        <v>1208</v>
      </c>
      <c r="G63" s="91" t="s">
        <v>1209</v>
      </c>
      <c r="H63" s="90" t="s">
        <v>607</v>
      </c>
      <c r="I63" s="15" t="s">
        <v>525</v>
      </c>
      <c r="J63" s="15" t="s">
        <v>288</v>
      </c>
      <c r="K63" s="15" t="s">
        <v>184</v>
      </c>
      <c r="L63" s="15" t="s">
        <v>767</v>
      </c>
      <c r="M63" s="90" t="s">
        <v>768</v>
      </c>
      <c r="N63" s="75" t="s">
        <v>63</v>
      </c>
      <c r="O63" s="75" t="s">
        <v>805</v>
      </c>
      <c r="P63" s="90" t="s">
        <v>64</v>
      </c>
      <c r="Q63" s="91" t="s">
        <v>1210</v>
      </c>
      <c r="R63" s="75" t="s">
        <v>682</v>
      </c>
      <c r="S63" s="15" t="s">
        <v>228</v>
      </c>
      <c r="T63" s="75" t="s">
        <v>1211</v>
      </c>
      <c r="U63" s="15" t="s">
        <v>187</v>
      </c>
      <c r="V63" s="75" t="s">
        <v>1212</v>
      </c>
      <c r="W63" s="75" t="s">
        <v>63</v>
      </c>
      <c r="X63" s="75" t="s">
        <v>688</v>
      </c>
      <c r="Y63" s="75" t="s">
        <v>688</v>
      </c>
      <c r="Z63" s="75" t="s">
        <v>688</v>
      </c>
      <c r="AA63" s="75" t="s">
        <v>788</v>
      </c>
      <c r="AB63" s="75" t="s">
        <v>1213</v>
      </c>
      <c r="AC63" s="75" t="s">
        <v>63</v>
      </c>
      <c r="AD63" s="15" t="s">
        <v>75</v>
      </c>
      <c r="AE63" s="75" t="s">
        <v>1214</v>
      </c>
      <c r="AF63" s="46">
        <v>0.9562</v>
      </c>
      <c r="AG63" s="46" t="s">
        <v>1215</v>
      </c>
      <c r="AH63" s="75" t="s">
        <v>63</v>
      </c>
      <c r="AI63" s="75" t="s">
        <v>63</v>
      </c>
      <c r="AJ63" s="75" t="s">
        <v>63</v>
      </c>
      <c r="AK63" s="75">
        <v>281.3</v>
      </c>
      <c r="AL63" s="75">
        <v>256.0</v>
      </c>
      <c r="AM63" s="75" t="s">
        <v>63</v>
      </c>
      <c r="AN63" s="15" t="s">
        <v>615</v>
      </c>
      <c r="AO63" s="75" t="s">
        <v>1216</v>
      </c>
      <c r="AP63" s="75" t="s">
        <v>1196</v>
      </c>
      <c r="AQ63" s="75" t="s">
        <v>688</v>
      </c>
      <c r="AR63" s="75" t="s">
        <v>63</v>
      </c>
      <c r="AS63" s="92" t="s">
        <v>1217</v>
      </c>
      <c r="AT63" s="30" t="s">
        <v>1218</v>
      </c>
      <c r="AU63" s="93" t="s">
        <v>1219</v>
      </c>
      <c r="AV63" s="18" t="s">
        <v>83</v>
      </c>
      <c r="AW63" s="11" t="s">
        <v>84</v>
      </c>
      <c r="AX63" s="38" t="s">
        <v>620</v>
      </c>
      <c r="AY63" s="19" t="s">
        <v>86</v>
      </c>
      <c r="AZ63" s="94"/>
      <c r="BA63" s="95"/>
      <c r="BB63" s="95"/>
      <c r="BC63" s="95"/>
      <c r="BD63" s="95"/>
      <c r="BE63" s="95"/>
      <c r="BF63" s="95"/>
      <c r="BG63" s="95"/>
      <c r="BH63" s="95"/>
      <c r="BI63" s="95"/>
      <c r="BJ63" s="95"/>
      <c r="BK63" s="95"/>
      <c r="BL63" s="95"/>
    </row>
    <row r="64" ht="18.75" customHeight="1">
      <c r="A64" s="31" t="s">
        <v>1220</v>
      </c>
      <c r="B64" s="75" t="s">
        <v>1221</v>
      </c>
      <c r="C64" s="75" t="s">
        <v>1222</v>
      </c>
      <c r="D64" s="75">
        <v>2026.0</v>
      </c>
      <c r="E64" s="75" t="s">
        <v>1223</v>
      </c>
      <c r="F64" s="75" t="s">
        <v>1224</v>
      </c>
      <c r="G64" s="75" t="s">
        <v>1225</v>
      </c>
      <c r="H64" s="15" t="s">
        <v>607</v>
      </c>
      <c r="I64" s="15" t="s">
        <v>525</v>
      </c>
      <c r="J64" s="15" t="s">
        <v>1226</v>
      </c>
      <c r="K64" s="15" t="s">
        <v>184</v>
      </c>
      <c r="L64" s="15" t="s">
        <v>269</v>
      </c>
      <c r="M64" s="15" t="s">
        <v>825</v>
      </c>
      <c r="N64" s="75" t="s">
        <v>63</v>
      </c>
      <c r="O64" s="75" t="s">
        <v>63</v>
      </c>
      <c r="P64" s="90" t="s">
        <v>64</v>
      </c>
      <c r="Q64" s="91" t="s">
        <v>1227</v>
      </c>
      <c r="R64" s="75" t="s">
        <v>682</v>
      </c>
      <c r="S64" s="15" t="s">
        <v>228</v>
      </c>
      <c r="T64" s="75" t="s">
        <v>1228</v>
      </c>
      <c r="U64" s="15" t="s">
        <v>272</v>
      </c>
      <c r="V64" s="75" t="s">
        <v>1229</v>
      </c>
      <c r="W64" s="75" t="s">
        <v>1230</v>
      </c>
      <c r="X64" s="75" t="s">
        <v>688</v>
      </c>
      <c r="Y64" s="75" t="s">
        <v>1196</v>
      </c>
      <c r="Z64" s="75" t="s">
        <v>688</v>
      </c>
      <c r="AA64" s="75" t="s">
        <v>773</v>
      </c>
      <c r="AB64" s="75" t="s">
        <v>1231</v>
      </c>
      <c r="AC64" s="75" t="s">
        <v>1232</v>
      </c>
      <c r="AD64" s="15" t="s">
        <v>75</v>
      </c>
      <c r="AE64" s="75" t="s">
        <v>63</v>
      </c>
      <c r="AF64" s="75" t="s">
        <v>1233</v>
      </c>
      <c r="AG64" s="46">
        <v>0.99</v>
      </c>
      <c r="AH64" s="75">
        <v>0.32</v>
      </c>
      <c r="AI64" s="75">
        <v>0.00108</v>
      </c>
      <c r="AJ64" s="75" t="s">
        <v>63</v>
      </c>
      <c r="AK64" s="75" t="s">
        <v>63</v>
      </c>
      <c r="AL64" s="75">
        <v>42.0</v>
      </c>
      <c r="AM64" s="75" t="s">
        <v>63</v>
      </c>
      <c r="AN64" s="15" t="s">
        <v>235</v>
      </c>
      <c r="AO64" s="75" t="s">
        <v>1234</v>
      </c>
      <c r="AP64" s="75" t="s">
        <v>1235</v>
      </c>
      <c r="AQ64" s="75" t="s">
        <v>1236</v>
      </c>
      <c r="AR64" s="38" t="s">
        <v>63</v>
      </c>
      <c r="AS64" s="92" t="s">
        <v>1237</v>
      </c>
      <c r="AT64" s="68" t="s">
        <v>1238</v>
      </c>
      <c r="AU64" s="93" t="s">
        <v>1239</v>
      </c>
      <c r="AV64" s="18" t="s">
        <v>83</v>
      </c>
      <c r="AW64" s="11" t="s">
        <v>84</v>
      </c>
      <c r="AX64" s="38" t="s">
        <v>1240</v>
      </c>
      <c r="AY64" s="19" t="s">
        <v>1241</v>
      </c>
      <c r="AZ64" s="94"/>
      <c r="BA64" s="95"/>
      <c r="BB64" s="95"/>
      <c r="BC64" s="95"/>
      <c r="BD64" s="95"/>
      <c r="BE64" s="95"/>
      <c r="BF64" s="95"/>
      <c r="BG64" s="95"/>
      <c r="BH64" s="95"/>
      <c r="BI64" s="95"/>
      <c r="BJ64" s="95"/>
      <c r="BK64" s="95"/>
      <c r="BL64" s="95"/>
    </row>
    <row r="65">
      <c r="A65" s="31" t="s">
        <v>1242</v>
      </c>
      <c r="B65" s="78" t="s">
        <v>1243</v>
      </c>
      <c r="C65" s="75" t="s">
        <v>1244</v>
      </c>
      <c r="D65" s="75">
        <v>2023.0</v>
      </c>
      <c r="E65" s="75" t="s">
        <v>1245</v>
      </c>
      <c r="F65" s="75" t="s">
        <v>1246</v>
      </c>
      <c r="G65" s="75" t="s">
        <v>1247</v>
      </c>
      <c r="H65" s="15" t="s">
        <v>225</v>
      </c>
      <c r="I65" s="15" t="s">
        <v>505</v>
      </c>
      <c r="J65" s="15" t="s">
        <v>288</v>
      </c>
      <c r="K65" s="15" t="s">
        <v>63</v>
      </c>
      <c r="L65" s="15" t="s">
        <v>249</v>
      </c>
      <c r="M65" s="15" t="s">
        <v>250</v>
      </c>
      <c r="N65" s="75" t="s">
        <v>954</v>
      </c>
      <c r="O65" s="75" t="s">
        <v>954</v>
      </c>
      <c r="P65" s="15" t="s">
        <v>955</v>
      </c>
      <c r="Q65" s="75" t="s">
        <v>1248</v>
      </c>
      <c r="R65" s="75" t="s">
        <v>63</v>
      </c>
      <c r="S65" s="15" t="s">
        <v>228</v>
      </c>
      <c r="T65" s="75" t="s">
        <v>1249</v>
      </c>
      <c r="U65" s="15" t="s">
        <v>187</v>
      </c>
      <c r="V65" s="75" t="s">
        <v>647</v>
      </c>
      <c r="W65" s="75" t="s">
        <v>1250</v>
      </c>
      <c r="X65" s="75" t="s">
        <v>1251</v>
      </c>
      <c r="Y65" s="75" t="s">
        <v>954</v>
      </c>
      <c r="Z65" s="75" t="s">
        <v>954</v>
      </c>
      <c r="AA65" s="75" t="s">
        <v>1252</v>
      </c>
      <c r="AB65" s="75" t="s">
        <v>1253</v>
      </c>
      <c r="AC65" s="75" t="s">
        <v>1254</v>
      </c>
      <c r="AD65" s="15" t="s">
        <v>75</v>
      </c>
      <c r="AE65" s="75" t="s">
        <v>76</v>
      </c>
      <c r="AF65" s="75" t="s">
        <v>1255</v>
      </c>
      <c r="AG65" s="75" t="s">
        <v>1256</v>
      </c>
      <c r="AH65" s="75" t="s">
        <v>954</v>
      </c>
      <c r="AI65" s="75" t="s">
        <v>954</v>
      </c>
      <c r="AJ65" s="75" t="s">
        <v>954</v>
      </c>
      <c r="AK65" s="75" t="s">
        <v>1257</v>
      </c>
      <c r="AL65" s="75" t="s">
        <v>1258</v>
      </c>
      <c r="AM65" s="75" t="s">
        <v>1259</v>
      </c>
      <c r="AN65" s="15" t="s">
        <v>78</v>
      </c>
      <c r="AO65" s="75" t="s">
        <v>954</v>
      </c>
      <c r="AP65" s="75" t="s">
        <v>1260</v>
      </c>
      <c r="AQ65" s="75" t="s">
        <v>75</v>
      </c>
      <c r="AR65" s="38" t="s">
        <v>63</v>
      </c>
      <c r="AS65" s="96" t="s">
        <v>1261</v>
      </c>
      <c r="AT65" s="75" t="s">
        <v>1262</v>
      </c>
      <c r="AU65" s="38" t="s">
        <v>1263</v>
      </c>
      <c r="AV65" s="18" t="s">
        <v>83</v>
      </c>
      <c r="AW65" s="11" t="s">
        <v>84</v>
      </c>
      <c r="AX65" s="18" t="s">
        <v>280</v>
      </c>
      <c r="AY65" s="19" t="s">
        <v>86</v>
      </c>
      <c r="AZ65" s="94"/>
      <c r="BA65" s="95"/>
      <c r="BB65" s="95"/>
      <c r="BC65" s="95"/>
      <c r="BD65" s="95"/>
      <c r="BE65" s="95"/>
      <c r="BF65" s="95"/>
      <c r="BG65" s="95"/>
      <c r="BH65" s="95"/>
      <c r="BI65" s="95"/>
      <c r="BJ65" s="95"/>
      <c r="BK65" s="95"/>
      <c r="BL65" s="95"/>
    </row>
    <row r="66">
      <c r="A66" s="31" t="s">
        <v>1264</v>
      </c>
      <c r="B66" s="78" t="s">
        <v>1265</v>
      </c>
      <c r="C66" s="75" t="s">
        <v>1266</v>
      </c>
      <c r="D66" s="75">
        <v>2024.0</v>
      </c>
      <c r="E66" s="75" t="s">
        <v>1267</v>
      </c>
      <c r="F66" s="75" t="s">
        <v>1268</v>
      </c>
      <c r="G66" s="75" t="s">
        <v>1269</v>
      </c>
      <c r="H66" s="15" t="s">
        <v>225</v>
      </c>
      <c r="I66" s="15" t="s">
        <v>505</v>
      </c>
      <c r="J66" s="15" t="s">
        <v>288</v>
      </c>
      <c r="K66" s="15" t="s">
        <v>63</v>
      </c>
      <c r="L66" s="15" t="s">
        <v>249</v>
      </c>
      <c r="M66" s="15" t="s">
        <v>250</v>
      </c>
      <c r="N66" s="75" t="s">
        <v>1270</v>
      </c>
      <c r="O66" s="75" t="s">
        <v>954</v>
      </c>
      <c r="P66" s="15" t="s">
        <v>64</v>
      </c>
      <c r="Q66" s="75" t="s">
        <v>1271</v>
      </c>
      <c r="R66" s="75" t="s">
        <v>63</v>
      </c>
      <c r="S66" s="15" t="s">
        <v>228</v>
      </c>
      <c r="T66" s="75" t="s">
        <v>1272</v>
      </c>
      <c r="U66" s="15" t="s">
        <v>187</v>
      </c>
      <c r="V66" s="75" t="s">
        <v>989</v>
      </c>
      <c r="W66" s="75" t="s">
        <v>1250</v>
      </c>
      <c r="X66" s="75" t="s">
        <v>954</v>
      </c>
      <c r="Y66" s="75" t="s">
        <v>954</v>
      </c>
      <c r="Z66" s="75" t="s">
        <v>954</v>
      </c>
      <c r="AA66" s="75" t="s">
        <v>1273</v>
      </c>
      <c r="AB66" s="75" t="s">
        <v>954</v>
      </c>
      <c r="AC66" s="75" t="s">
        <v>1254</v>
      </c>
      <c r="AD66" s="15" t="s">
        <v>75</v>
      </c>
      <c r="AE66" s="75" t="s">
        <v>1274</v>
      </c>
      <c r="AF66" s="75" t="s">
        <v>1275</v>
      </c>
      <c r="AG66" s="75" t="s">
        <v>1276</v>
      </c>
      <c r="AH66" s="75" t="s">
        <v>954</v>
      </c>
      <c r="AI66" s="75" t="s">
        <v>954</v>
      </c>
      <c r="AJ66" s="75" t="s">
        <v>954</v>
      </c>
      <c r="AK66" s="75" t="s">
        <v>1277</v>
      </c>
      <c r="AL66" s="75" t="s">
        <v>1278</v>
      </c>
      <c r="AM66" s="75" t="s">
        <v>954</v>
      </c>
      <c r="AN66" s="15" t="s">
        <v>78</v>
      </c>
      <c r="AO66" s="75" t="s">
        <v>954</v>
      </c>
      <c r="AP66" s="75" t="s">
        <v>1279</v>
      </c>
      <c r="AQ66" s="75" t="s">
        <v>75</v>
      </c>
      <c r="AR66" s="38" t="s">
        <v>63</v>
      </c>
      <c r="AS66" s="97" t="s">
        <v>1280</v>
      </c>
      <c r="AT66" s="75" t="s">
        <v>1281</v>
      </c>
      <c r="AU66" s="38" t="s">
        <v>1282</v>
      </c>
      <c r="AV66" s="18" t="s">
        <v>83</v>
      </c>
      <c r="AW66" s="11" t="s">
        <v>84</v>
      </c>
      <c r="AX66" s="18" t="s">
        <v>280</v>
      </c>
      <c r="AY66" s="19" t="s">
        <v>86</v>
      </c>
      <c r="AZ66" s="94"/>
      <c r="BA66" s="95"/>
      <c r="BB66" s="95"/>
      <c r="BC66" s="95"/>
      <c r="BD66" s="95"/>
      <c r="BE66" s="95"/>
      <c r="BF66" s="95"/>
      <c r="BG66" s="95"/>
      <c r="BH66" s="95"/>
      <c r="BI66" s="95"/>
      <c r="BJ66" s="95"/>
      <c r="BK66" s="95"/>
      <c r="BL66" s="95"/>
    </row>
    <row r="67">
      <c r="A67" s="31" t="s">
        <v>1283</v>
      </c>
      <c r="B67" s="78" t="s">
        <v>1284</v>
      </c>
      <c r="C67" s="38" t="s">
        <v>1285</v>
      </c>
      <c r="D67" s="75">
        <v>2025.0</v>
      </c>
      <c r="E67" s="75" t="s">
        <v>1286</v>
      </c>
      <c r="F67" s="75" t="s">
        <v>1287</v>
      </c>
      <c r="G67" s="75" t="s">
        <v>1288</v>
      </c>
      <c r="H67" s="15" t="s">
        <v>225</v>
      </c>
      <c r="I67" s="15" t="s">
        <v>702</v>
      </c>
      <c r="J67" s="15" t="s">
        <v>308</v>
      </c>
      <c r="K67" s="15" t="s">
        <v>63</v>
      </c>
      <c r="L67" s="15" t="s">
        <v>249</v>
      </c>
      <c r="M67" s="15" t="s">
        <v>250</v>
      </c>
      <c r="N67" s="18" t="s">
        <v>1289</v>
      </c>
      <c r="O67" s="38" t="s">
        <v>954</v>
      </c>
      <c r="P67" s="15" t="s">
        <v>706</v>
      </c>
      <c r="Q67" s="18" t="s">
        <v>1290</v>
      </c>
      <c r="R67" s="18" t="s">
        <v>1291</v>
      </c>
      <c r="S67" s="15" t="s">
        <v>228</v>
      </c>
      <c r="T67" s="18" t="s">
        <v>1292</v>
      </c>
      <c r="U67" s="15" t="s">
        <v>187</v>
      </c>
      <c r="V67" s="18" t="s">
        <v>1293</v>
      </c>
      <c r="W67" s="75" t="s">
        <v>1250</v>
      </c>
      <c r="X67" s="38" t="s">
        <v>954</v>
      </c>
      <c r="Y67" s="38" t="s">
        <v>954</v>
      </c>
      <c r="Z67" s="38" t="s">
        <v>954</v>
      </c>
      <c r="AA67" s="18" t="s">
        <v>1294</v>
      </c>
      <c r="AB67" s="18" t="s">
        <v>1295</v>
      </c>
      <c r="AC67" s="38" t="s">
        <v>954</v>
      </c>
      <c r="AD67" s="15" t="s">
        <v>75</v>
      </c>
      <c r="AE67" s="18" t="s">
        <v>1296</v>
      </c>
      <c r="AF67" s="18" t="s">
        <v>1297</v>
      </c>
      <c r="AG67" s="38" t="s">
        <v>954</v>
      </c>
      <c r="AH67" s="38" t="s">
        <v>954</v>
      </c>
      <c r="AI67" s="38" t="s">
        <v>954</v>
      </c>
      <c r="AJ67" s="38" t="s">
        <v>954</v>
      </c>
      <c r="AK67" s="38" t="s">
        <v>954</v>
      </c>
      <c r="AL67" s="38" t="s">
        <v>1298</v>
      </c>
      <c r="AM67" s="18" t="s">
        <v>1299</v>
      </c>
      <c r="AN67" s="15" t="s">
        <v>78</v>
      </c>
      <c r="AO67" s="18" t="s">
        <v>1300</v>
      </c>
      <c r="AP67" s="18" t="s">
        <v>1301</v>
      </c>
      <c r="AQ67" s="38" t="s">
        <v>75</v>
      </c>
      <c r="AR67" s="38" t="s">
        <v>63</v>
      </c>
      <c r="AS67" s="97" t="s">
        <v>1302</v>
      </c>
      <c r="AT67" s="18" t="s">
        <v>1303</v>
      </c>
      <c r="AU67" s="18" t="s">
        <v>1304</v>
      </c>
      <c r="AV67" s="18" t="s">
        <v>83</v>
      </c>
      <c r="AW67" s="11" t="s">
        <v>84</v>
      </c>
      <c r="AX67" s="18" t="s">
        <v>280</v>
      </c>
      <c r="AY67" s="19" t="s">
        <v>86</v>
      </c>
      <c r="AZ67" s="94"/>
      <c r="BA67" s="95"/>
      <c r="BB67" s="95"/>
      <c r="BC67" s="95"/>
      <c r="BD67" s="95"/>
      <c r="BE67" s="95"/>
      <c r="BF67" s="95"/>
      <c r="BG67" s="95"/>
      <c r="BH67" s="95"/>
      <c r="BI67" s="95"/>
      <c r="BJ67" s="95"/>
      <c r="BK67" s="95"/>
      <c r="BL67" s="95"/>
    </row>
    <row r="68">
      <c r="A68" s="98" t="s">
        <v>1305</v>
      </c>
      <c r="B68" s="85" t="s">
        <v>1306</v>
      </c>
      <c r="C68" s="85" t="s">
        <v>1307</v>
      </c>
      <c r="D68" s="85">
        <v>2022.0</v>
      </c>
      <c r="E68" s="47" t="s">
        <v>1308</v>
      </c>
      <c r="F68" s="85" t="s">
        <v>1309</v>
      </c>
      <c r="G68" s="47" t="s">
        <v>1310</v>
      </c>
      <c r="H68" s="64" t="s">
        <v>324</v>
      </c>
      <c r="I68" s="64" t="s">
        <v>505</v>
      </c>
      <c r="J68" s="64" t="s">
        <v>326</v>
      </c>
      <c r="K68" s="64" t="s">
        <v>347</v>
      </c>
      <c r="L68" s="64" t="s">
        <v>61</v>
      </c>
      <c r="M68" s="64" t="s">
        <v>95</v>
      </c>
      <c r="N68" s="47" t="s">
        <v>1311</v>
      </c>
      <c r="O68" s="47" t="s">
        <v>1312</v>
      </c>
      <c r="P68" s="64" t="s">
        <v>64</v>
      </c>
      <c r="Q68" s="85" t="s">
        <v>1313</v>
      </c>
      <c r="R68" s="93" t="s">
        <v>1314</v>
      </c>
      <c r="S68" s="64" t="s">
        <v>67</v>
      </c>
      <c r="T68" s="93" t="s">
        <v>1315</v>
      </c>
      <c r="U68" s="64" t="s">
        <v>187</v>
      </c>
      <c r="V68" s="47" t="s">
        <v>1316</v>
      </c>
      <c r="W68" s="47" t="s">
        <v>1317</v>
      </c>
      <c r="X68" s="93" t="s">
        <v>688</v>
      </c>
      <c r="Y68" s="93" t="s">
        <v>688</v>
      </c>
      <c r="Z68" s="93" t="s">
        <v>688</v>
      </c>
      <c r="AA68" s="47" t="s">
        <v>1318</v>
      </c>
      <c r="AB68" s="47" t="s">
        <v>1319</v>
      </c>
      <c r="AC68" s="93" t="s">
        <v>688</v>
      </c>
      <c r="AD68" s="64" t="s">
        <v>75</v>
      </c>
      <c r="AE68" s="85" t="s">
        <v>76</v>
      </c>
      <c r="AF68" s="99">
        <v>0.802</v>
      </c>
      <c r="AG68" s="47" t="s">
        <v>1320</v>
      </c>
      <c r="AH68" s="93" t="s">
        <v>63</v>
      </c>
      <c r="AI68" s="47" t="s">
        <v>1321</v>
      </c>
      <c r="AJ68" s="47" t="s">
        <v>1322</v>
      </c>
      <c r="AK68" s="47" t="s">
        <v>1323</v>
      </c>
      <c r="AL68" s="47" t="s">
        <v>1324</v>
      </c>
      <c r="AM68" s="47" t="s">
        <v>1325</v>
      </c>
      <c r="AN68" s="64" t="s">
        <v>78</v>
      </c>
      <c r="AO68" s="47" t="s">
        <v>1326</v>
      </c>
      <c r="AP68" s="47" t="s">
        <v>1327</v>
      </c>
      <c r="AQ68" s="47" t="s">
        <v>83</v>
      </c>
      <c r="AR68" s="100" t="s">
        <v>1328</v>
      </c>
      <c r="AS68" s="101" t="s">
        <v>1329</v>
      </c>
      <c r="AT68" s="47" t="s">
        <v>1330</v>
      </c>
      <c r="AU68" s="47" t="s">
        <v>1331</v>
      </c>
      <c r="AV68" s="18" t="s">
        <v>83</v>
      </c>
      <c r="AW68" s="11" t="s">
        <v>84</v>
      </c>
      <c r="AX68" s="47" t="s">
        <v>340</v>
      </c>
      <c r="AY68" s="102" t="s">
        <v>86</v>
      </c>
      <c r="AZ68" s="103"/>
      <c r="BA68" s="104"/>
      <c r="BB68" s="104"/>
      <c r="BC68" s="104"/>
      <c r="BD68" s="104"/>
      <c r="BE68" s="104"/>
      <c r="BF68" s="104"/>
      <c r="BG68" s="104"/>
      <c r="BH68" s="104"/>
      <c r="BI68" s="104"/>
      <c r="BJ68" s="104"/>
      <c r="BK68" s="104"/>
      <c r="BL68" s="104"/>
    </row>
    <row r="69">
      <c r="A69" s="98" t="s">
        <v>1332</v>
      </c>
      <c r="B69" s="47" t="s">
        <v>1333</v>
      </c>
      <c r="C69" s="100" t="s">
        <v>1334</v>
      </c>
      <c r="D69" s="47">
        <v>2025.0</v>
      </c>
      <c r="E69" s="47" t="s">
        <v>1335</v>
      </c>
      <c r="F69" s="47" t="s">
        <v>1336</v>
      </c>
      <c r="G69" s="47" t="s">
        <v>1337</v>
      </c>
      <c r="H69" s="64" t="s">
        <v>324</v>
      </c>
      <c r="I69" s="64" t="s">
        <v>325</v>
      </c>
      <c r="J69" s="64" t="s">
        <v>326</v>
      </c>
      <c r="K69" s="64" t="s">
        <v>347</v>
      </c>
      <c r="L69" s="64" t="s">
        <v>61</v>
      </c>
      <c r="M69" s="64" t="s">
        <v>62</v>
      </c>
      <c r="N69" s="93">
        <v>20.0</v>
      </c>
      <c r="O69" s="93">
        <v>5.0</v>
      </c>
      <c r="P69" s="64" t="s">
        <v>64</v>
      </c>
      <c r="Q69" s="47" t="s">
        <v>1338</v>
      </c>
      <c r="R69" s="93" t="s">
        <v>1339</v>
      </c>
      <c r="S69" s="64" t="s">
        <v>67</v>
      </c>
      <c r="T69" s="47" t="s">
        <v>1340</v>
      </c>
      <c r="U69" s="64" t="s">
        <v>69</v>
      </c>
      <c r="V69" s="47" t="s">
        <v>1341</v>
      </c>
      <c r="W69" s="47" t="s">
        <v>1342</v>
      </c>
      <c r="X69" s="93" t="s">
        <v>688</v>
      </c>
      <c r="Y69" s="93" t="s">
        <v>688</v>
      </c>
      <c r="Z69" s="93" t="s">
        <v>688</v>
      </c>
      <c r="AA69" s="47" t="s">
        <v>1343</v>
      </c>
      <c r="AB69" s="47" t="s">
        <v>1344</v>
      </c>
      <c r="AC69" s="93" t="s">
        <v>688</v>
      </c>
      <c r="AD69" s="64" t="s">
        <v>75</v>
      </c>
      <c r="AE69" s="85" t="s">
        <v>76</v>
      </c>
      <c r="AF69" s="47" t="s">
        <v>1345</v>
      </c>
      <c r="AG69" s="47">
        <v>21.0</v>
      </c>
      <c r="AH69" s="93" t="s">
        <v>63</v>
      </c>
      <c r="AI69" s="93" t="s">
        <v>1346</v>
      </c>
      <c r="AJ69" s="47" t="s">
        <v>1347</v>
      </c>
      <c r="AK69" s="47">
        <v>189.6</v>
      </c>
      <c r="AL69" s="47">
        <v>29.1</v>
      </c>
      <c r="AM69" s="47">
        <v>136.51</v>
      </c>
      <c r="AN69" s="64" t="s">
        <v>78</v>
      </c>
      <c r="AO69" s="47" t="s">
        <v>1326</v>
      </c>
      <c r="AP69" s="47" t="s">
        <v>1348</v>
      </c>
      <c r="AQ69" s="47" t="s">
        <v>83</v>
      </c>
      <c r="AR69" s="100" t="s">
        <v>1349</v>
      </c>
      <c r="AS69" s="101" t="s">
        <v>1350</v>
      </c>
      <c r="AT69" s="47" t="s">
        <v>1351</v>
      </c>
      <c r="AU69" s="47" t="s">
        <v>1352</v>
      </c>
      <c r="AV69" s="18" t="s">
        <v>83</v>
      </c>
      <c r="AW69" s="11" t="s">
        <v>84</v>
      </c>
      <c r="AX69" s="47" t="s">
        <v>340</v>
      </c>
      <c r="AY69" s="102" t="s">
        <v>86</v>
      </c>
      <c r="AZ69" s="103"/>
      <c r="BA69" s="104"/>
      <c r="BB69" s="104"/>
      <c r="BC69" s="104"/>
      <c r="BD69" s="104"/>
      <c r="BE69" s="104"/>
      <c r="BF69" s="104"/>
      <c r="BG69" s="104"/>
      <c r="BH69" s="104"/>
      <c r="BI69" s="104"/>
      <c r="BJ69" s="104"/>
      <c r="BK69" s="104"/>
      <c r="BL69" s="104"/>
    </row>
    <row r="70">
      <c r="A70" s="98" t="s">
        <v>1353</v>
      </c>
      <c r="B70" s="47" t="s">
        <v>1354</v>
      </c>
      <c r="C70" s="93" t="s">
        <v>1355</v>
      </c>
      <c r="D70" s="47">
        <v>2025.0</v>
      </c>
      <c r="E70" s="93" t="s">
        <v>1356</v>
      </c>
      <c r="F70" s="47" t="s">
        <v>1357</v>
      </c>
      <c r="G70" s="47" t="s">
        <v>1358</v>
      </c>
      <c r="H70" s="64" t="s">
        <v>324</v>
      </c>
      <c r="I70" s="64" t="s">
        <v>505</v>
      </c>
      <c r="J70" s="64" t="s">
        <v>326</v>
      </c>
      <c r="K70" s="64" t="s">
        <v>347</v>
      </c>
      <c r="L70" s="64" t="s">
        <v>61</v>
      </c>
      <c r="M70" s="64" t="s">
        <v>62</v>
      </c>
      <c r="N70" s="93">
        <v>50.0</v>
      </c>
      <c r="O70" s="93">
        <v>1.0</v>
      </c>
      <c r="P70" s="64" t="s">
        <v>64</v>
      </c>
      <c r="Q70" s="47" t="s">
        <v>1359</v>
      </c>
      <c r="R70" s="93" t="s">
        <v>530</v>
      </c>
      <c r="S70" s="64" t="s">
        <v>531</v>
      </c>
      <c r="T70" s="47" t="s">
        <v>1360</v>
      </c>
      <c r="U70" s="64" t="s">
        <v>187</v>
      </c>
      <c r="V70" s="47" t="s">
        <v>1361</v>
      </c>
      <c r="W70" s="47" t="s">
        <v>667</v>
      </c>
      <c r="X70" s="93" t="s">
        <v>688</v>
      </c>
      <c r="Y70" s="93" t="s">
        <v>688</v>
      </c>
      <c r="Z70" s="93" t="s">
        <v>688</v>
      </c>
      <c r="AA70" s="47" t="s">
        <v>1362</v>
      </c>
      <c r="AB70" s="47" t="s">
        <v>1363</v>
      </c>
      <c r="AC70" s="93" t="s">
        <v>688</v>
      </c>
      <c r="AD70" s="64" t="s">
        <v>75</v>
      </c>
      <c r="AE70" s="47" t="s">
        <v>1364</v>
      </c>
      <c r="AF70" s="47" t="s">
        <v>1365</v>
      </c>
      <c r="AG70" s="47" t="s">
        <v>1366</v>
      </c>
      <c r="AH70" s="47" t="s">
        <v>1367</v>
      </c>
      <c r="AI70" s="47" t="s">
        <v>1368</v>
      </c>
      <c r="AJ70" s="93" t="s">
        <v>63</v>
      </c>
      <c r="AK70" s="93" t="s">
        <v>63</v>
      </c>
      <c r="AL70" s="93">
        <v>264.0</v>
      </c>
      <c r="AM70" s="93" t="s">
        <v>63</v>
      </c>
      <c r="AN70" s="64" t="s">
        <v>235</v>
      </c>
      <c r="AO70" s="47" t="s">
        <v>1369</v>
      </c>
      <c r="AP70" s="47" t="s">
        <v>1370</v>
      </c>
      <c r="AQ70" s="93" t="s">
        <v>75</v>
      </c>
      <c r="AR70" s="93" t="s">
        <v>63</v>
      </c>
      <c r="AS70" s="101" t="s">
        <v>1371</v>
      </c>
      <c r="AT70" s="93" t="s">
        <v>1372</v>
      </c>
      <c r="AU70" s="93" t="s">
        <v>1373</v>
      </c>
      <c r="AV70" s="18" t="s">
        <v>83</v>
      </c>
      <c r="AW70" s="11" t="s">
        <v>84</v>
      </c>
      <c r="AX70" s="47" t="s">
        <v>340</v>
      </c>
      <c r="AY70" s="102" t="s">
        <v>86</v>
      </c>
      <c r="AZ70" s="103"/>
      <c r="BA70" s="104"/>
      <c r="BB70" s="104"/>
      <c r="BC70" s="104"/>
      <c r="BD70" s="104"/>
      <c r="BE70" s="104"/>
      <c r="BF70" s="104"/>
      <c r="BG70" s="104"/>
      <c r="BH70" s="104"/>
      <c r="BI70" s="104"/>
      <c r="BJ70" s="104"/>
      <c r="BK70" s="104"/>
      <c r="BL70" s="104"/>
    </row>
    <row r="71">
      <c r="A71" s="98" t="s">
        <v>1374</v>
      </c>
      <c r="B71" s="93" t="s">
        <v>1375</v>
      </c>
      <c r="C71" s="101" t="s">
        <v>1376</v>
      </c>
      <c r="D71" s="93">
        <v>2024.0</v>
      </c>
      <c r="E71" s="93" t="s">
        <v>1377</v>
      </c>
      <c r="F71" s="93" t="s">
        <v>1378</v>
      </c>
      <c r="G71" s="93" t="s">
        <v>1379</v>
      </c>
      <c r="H71" s="64" t="s">
        <v>324</v>
      </c>
      <c r="I71" s="64" t="s">
        <v>702</v>
      </c>
      <c r="J71" s="64" t="s">
        <v>326</v>
      </c>
      <c r="K71" s="64" t="s">
        <v>162</v>
      </c>
      <c r="L71" s="64" t="s">
        <v>61</v>
      </c>
      <c r="M71" s="64" t="s">
        <v>62</v>
      </c>
      <c r="N71" s="93">
        <v>50.0</v>
      </c>
      <c r="O71" s="93">
        <v>2.0</v>
      </c>
      <c r="P71" s="64" t="s">
        <v>64</v>
      </c>
      <c r="Q71" s="93" t="s">
        <v>1380</v>
      </c>
      <c r="R71" s="93" t="s">
        <v>530</v>
      </c>
      <c r="S71" s="64" t="s">
        <v>67</v>
      </c>
      <c r="T71" s="93" t="s">
        <v>1381</v>
      </c>
      <c r="U71" s="64" t="s">
        <v>69</v>
      </c>
      <c r="V71" s="93" t="s">
        <v>530</v>
      </c>
      <c r="W71" s="93" t="s">
        <v>530</v>
      </c>
      <c r="X71" s="93" t="s">
        <v>83</v>
      </c>
      <c r="Y71" s="93" t="s">
        <v>75</v>
      </c>
      <c r="Z71" s="93" t="s">
        <v>1382</v>
      </c>
      <c r="AA71" s="93" t="s">
        <v>1382</v>
      </c>
      <c r="AB71" s="93" t="s">
        <v>75</v>
      </c>
      <c r="AC71" s="93" t="s">
        <v>83</v>
      </c>
      <c r="AD71" s="64" t="s">
        <v>75</v>
      </c>
      <c r="AE71" s="93" t="s">
        <v>76</v>
      </c>
      <c r="AF71" s="93">
        <v>0.9853</v>
      </c>
      <c r="AG71" s="93" t="s">
        <v>63</v>
      </c>
      <c r="AH71" s="93" t="s">
        <v>63</v>
      </c>
      <c r="AI71" s="93" t="s">
        <v>63</v>
      </c>
      <c r="AJ71" s="93">
        <v>34.6</v>
      </c>
      <c r="AK71" s="93">
        <v>21.0</v>
      </c>
      <c r="AL71" s="93" t="s">
        <v>1383</v>
      </c>
      <c r="AM71" s="93" t="s">
        <v>63</v>
      </c>
      <c r="AN71" s="64" t="s">
        <v>78</v>
      </c>
      <c r="AO71" s="93" t="s">
        <v>83</v>
      </c>
      <c r="AP71" s="93" t="s">
        <v>83</v>
      </c>
      <c r="AQ71" s="93" t="s">
        <v>75</v>
      </c>
      <c r="AR71" s="93" t="s">
        <v>63</v>
      </c>
      <c r="AS71" s="101" t="s">
        <v>1384</v>
      </c>
      <c r="AT71" s="93" t="s">
        <v>1385</v>
      </c>
      <c r="AU71" s="93" t="s">
        <v>1386</v>
      </c>
      <c r="AV71" s="18" t="s">
        <v>83</v>
      </c>
      <c r="AW71" s="11" t="s">
        <v>84</v>
      </c>
      <c r="AX71" s="47" t="s">
        <v>340</v>
      </c>
      <c r="AY71" s="102" t="s">
        <v>86</v>
      </c>
      <c r="AZ71" s="103"/>
      <c r="BA71" s="104"/>
      <c r="BB71" s="104"/>
      <c r="BC71" s="104"/>
      <c r="BD71" s="104"/>
      <c r="BE71" s="104"/>
      <c r="BF71" s="104"/>
      <c r="BG71" s="104"/>
      <c r="BH71" s="104"/>
      <c r="BI71" s="104"/>
      <c r="BJ71" s="104"/>
      <c r="BK71" s="104"/>
      <c r="BL71" s="104"/>
    </row>
    <row r="72">
      <c r="A72" s="98" t="s">
        <v>1387</v>
      </c>
      <c r="B72" s="93" t="s">
        <v>1388</v>
      </c>
      <c r="C72" s="101" t="s">
        <v>1389</v>
      </c>
      <c r="D72" s="93">
        <v>2024.0</v>
      </c>
      <c r="E72" s="93" t="s">
        <v>1390</v>
      </c>
      <c r="F72" s="93" t="s">
        <v>1391</v>
      </c>
      <c r="G72" s="93" t="s">
        <v>1392</v>
      </c>
      <c r="H72" s="64" t="s">
        <v>324</v>
      </c>
      <c r="I72" s="64" t="s">
        <v>702</v>
      </c>
      <c r="J72" s="64" t="s">
        <v>326</v>
      </c>
      <c r="K72" s="64" t="s">
        <v>347</v>
      </c>
      <c r="L72" s="64" t="s">
        <v>61</v>
      </c>
      <c r="M72" s="64" t="s">
        <v>62</v>
      </c>
      <c r="N72" s="93">
        <v>50.0</v>
      </c>
      <c r="O72" s="93" t="s">
        <v>63</v>
      </c>
      <c r="P72" s="64" t="s">
        <v>706</v>
      </c>
      <c r="Q72" s="93" t="s">
        <v>1393</v>
      </c>
      <c r="R72" s="93" t="s">
        <v>530</v>
      </c>
      <c r="S72" s="64" t="s">
        <v>228</v>
      </c>
      <c r="T72" s="93" t="s">
        <v>1394</v>
      </c>
      <c r="U72" s="64" t="s">
        <v>69</v>
      </c>
      <c r="V72" s="93" t="s">
        <v>530</v>
      </c>
      <c r="W72" s="93" t="s">
        <v>83</v>
      </c>
      <c r="X72" s="93" t="s">
        <v>75</v>
      </c>
      <c r="Y72" s="93" t="s">
        <v>75</v>
      </c>
      <c r="Z72" s="93" t="s">
        <v>1395</v>
      </c>
      <c r="AA72" s="93" t="s">
        <v>1395</v>
      </c>
      <c r="AB72" s="93" t="s">
        <v>75</v>
      </c>
      <c r="AC72" s="93" t="s">
        <v>75</v>
      </c>
      <c r="AD72" s="64" t="s">
        <v>75</v>
      </c>
      <c r="AE72" s="93" t="s">
        <v>76</v>
      </c>
      <c r="AF72" s="93">
        <v>0.948</v>
      </c>
      <c r="AG72" s="93">
        <v>26.0</v>
      </c>
      <c r="AH72" s="93" t="s">
        <v>63</v>
      </c>
      <c r="AI72" s="93" t="s">
        <v>1396</v>
      </c>
      <c r="AJ72" s="93" t="s">
        <v>1397</v>
      </c>
      <c r="AK72" s="93" t="s">
        <v>1398</v>
      </c>
      <c r="AL72" s="93" t="s">
        <v>63</v>
      </c>
      <c r="AM72" s="93" t="s">
        <v>63</v>
      </c>
      <c r="AN72" s="64" t="s">
        <v>78</v>
      </c>
      <c r="AO72" s="93" t="s">
        <v>75</v>
      </c>
      <c r="AP72" s="93" t="s">
        <v>75</v>
      </c>
      <c r="AQ72" s="93" t="s">
        <v>75</v>
      </c>
      <c r="AR72" s="93" t="s">
        <v>63</v>
      </c>
      <c r="AS72" s="105" t="s">
        <v>1399</v>
      </c>
      <c r="AT72" s="93" t="s">
        <v>1400</v>
      </c>
      <c r="AU72" s="93" t="s">
        <v>1401</v>
      </c>
      <c r="AV72" s="18" t="s">
        <v>83</v>
      </c>
      <c r="AW72" s="11" t="s">
        <v>84</v>
      </c>
      <c r="AX72" s="47" t="s">
        <v>340</v>
      </c>
      <c r="AY72" s="102" t="s">
        <v>86</v>
      </c>
      <c r="AZ72" s="103"/>
      <c r="BA72" s="104"/>
      <c r="BB72" s="104"/>
      <c r="BC72" s="104"/>
      <c r="BD72" s="104"/>
      <c r="BE72" s="104"/>
      <c r="BF72" s="104"/>
      <c r="BG72" s="104"/>
      <c r="BH72" s="104"/>
      <c r="BI72" s="104"/>
      <c r="BJ72" s="104"/>
      <c r="BK72" s="104"/>
      <c r="BL72" s="104"/>
    </row>
    <row r="73">
      <c r="A73" s="98" t="s">
        <v>1402</v>
      </c>
      <c r="B73" s="93" t="s">
        <v>1403</v>
      </c>
      <c r="C73" s="101" t="s">
        <v>1404</v>
      </c>
      <c r="D73" s="93">
        <v>2021.0</v>
      </c>
      <c r="E73" s="93" t="s">
        <v>1405</v>
      </c>
      <c r="F73" s="93" t="s">
        <v>1406</v>
      </c>
      <c r="G73" s="93" t="s">
        <v>1407</v>
      </c>
      <c r="H73" s="64" t="s">
        <v>324</v>
      </c>
      <c r="I73" s="64" t="s">
        <v>325</v>
      </c>
      <c r="J73" s="64" t="s">
        <v>326</v>
      </c>
      <c r="K73" s="64" t="s">
        <v>347</v>
      </c>
      <c r="L73" s="64" t="s">
        <v>61</v>
      </c>
      <c r="M73" s="64" t="s">
        <v>62</v>
      </c>
      <c r="N73" s="93">
        <v>100.0</v>
      </c>
      <c r="O73" s="93" t="s">
        <v>1408</v>
      </c>
      <c r="P73" s="64" t="s">
        <v>64</v>
      </c>
      <c r="Q73" s="93" t="s">
        <v>1409</v>
      </c>
      <c r="R73" s="93" t="s">
        <v>530</v>
      </c>
      <c r="S73" s="64" t="s">
        <v>228</v>
      </c>
      <c r="T73" s="93" t="s">
        <v>1410</v>
      </c>
      <c r="U73" s="64" t="s">
        <v>69</v>
      </c>
      <c r="V73" s="93" t="s">
        <v>1411</v>
      </c>
      <c r="W73" s="93" t="s">
        <v>1412</v>
      </c>
      <c r="X73" s="93" t="s">
        <v>75</v>
      </c>
      <c r="Y73" s="93" t="s">
        <v>75</v>
      </c>
      <c r="Z73" s="93" t="s">
        <v>75</v>
      </c>
      <c r="AA73" s="93" t="s">
        <v>1343</v>
      </c>
      <c r="AB73" s="93" t="s">
        <v>1413</v>
      </c>
      <c r="AC73" s="93" t="s">
        <v>75</v>
      </c>
      <c r="AD73" s="64" t="s">
        <v>75</v>
      </c>
      <c r="AE73" s="93" t="s">
        <v>1414</v>
      </c>
      <c r="AF73" s="93" t="s">
        <v>1415</v>
      </c>
      <c r="AG73" s="93" t="s">
        <v>1416</v>
      </c>
      <c r="AH73" s="93" t="s">
        <v>63</v>
      </c>
      <c r="AI73" s="93" t="s">
        <v>63</v>
      </c>
      <c r="AJ73" s="93" t="s">
        <v>63</v>
      </c>
      <c r="AK73" s="93" t="s">
        <v>63</v>
      </c>
      <c r="AL73" s="93" t="s">
        <v>63</v>
      </c>
      <c r="AM73" s="93" t="s">
        <v>63</v>
      </c>
      <c r="AN73" s="64" t="s">
        <v>78</v>
      </c>
      <c r="AO73" s="93" t="s">
        <v>1326</v>
      </c>
      <c r="AP73" s="93" t="s">
        <v>1417</v>
      </c>
      <c r="AQ73" s="93" t="s">
        <v>75</v>
      </c>
      <c r="AR73" s="93" t="s">
        <v>63</v>
      </c>
      <c r="AS73" s="101" t="s">
        <v>1418</v>
      </c>
      <c r="AT73" s="93" t="s">
        <v>1419</v>
      </c>
      <c r="AU73" s="93" t="s">
        <v>1420</v>
      </c>
      <c r="AV73" s="18" t="s">
        <v>83</v>
      </c>
      <c r="AW73" s="11" t="s">
        <v>84</v>
      </c>
      <c r="AX73" s="47" t="s">
        <v>340</v>
      </c>
      <c r="AY73" s="102" t="s">
        <v>86</v>
      </c>
      <c r="AZ73" s="103"/>
      <c r="BA73" s="104"/>
      <c r="BB73" s="104"/>
      <c r="BC73" s="104"/>
      <c r="BD73" s="104"/>
      <c r="BE73" s="104"/>
      <c r="BF73" s="104"/>
      <c r="BG73" s="104"/>
      <c r="BH73" s="104"/>
      <c r="BI73" s="104"/>
      <c r="BJ73" s="104"/>
      <c r="BK73" s="104"/>
      <c r="BL73" s="104"/>
    </row>
    <row r="74" ht="15.75" customHeight="1">
      <c r="A74" s="10" t="s">
        <v>1421</v>
      </c>
      <c r="B74" s="11" t="s">
        <v>1422</v>
      </c>
      <c r="C74" s="11" t="s">
        <v>1423</v>
      </c>
      <c r="D74" s="11">
        <v>2023.0</v>
      </c>
      <c r="E74" s="11" t="s">
        <v>1424</v>
      </c>
      <c r="F74" s="13" t="s">
        <v>1425</v>
      </c>
      <c r="G74" s="11" t="s">
        <v>1426</v>
      </c>
      <c r="H74" s="14" t="s">
        <v>160</v>
      </c>
      <c r="I74" s="14" t="s">
        <v>505</v>
      </c>
      <c r="J74" s="14" t="s">
        <v>1226</v>
      </c>
      <c r="K74" s="14" t="s">
        <v>60</v>
      </c>
      <c r="L74" s="14" t="s">
        <v>457</v>
      </c>
      <c r="M74" s="14" t="s">
        <v>458</v>
      </c>
      <c r="N74" s="11" t="s">
        <v>1427</v>
      </c>
      <c r="O74" s="11" t="s">
        <v>1428</v>
      </c>
      <c r="P74" s="14" t="s">
        <v>64</v>
      </c>
      <c r="Q74" s="11" t="s">
        <v>1429</v>
      </c>
      <c r="R74" s="11" t="s">
        <v>530</v>
      </c>
      <c r="S74" s="14" t="s">
        <v>67</v>
      </c>
      <c r="T74" s="11" t="s">
        <v>1430</v>
      </c>
      <c r="U74" s="14" t="s">
        <v>187</v>
      </c>
      <c r="V74" s="11" t="s">
        <v>1431</v>
      </c>
      <c r="W74" s="11" t="s">
        <v>1432</v>
      </c>
      <c r="X74" s="11" t="s">
        <v>75</v>
      </c>
      <c r="Y74" s="11" t="s">
        <v>75</v>
      </c>
      <c r="Z74" s="11" t="s">
        <v>75</v>
      </c>
      <c r="AA74" s="11" t="s">
        <v>1433</v>
      </c>
      <c r="AB74" s="11" t="s">
        <v>1434</v>
      </c>
      <c r="AC74" s="11" t="s">
        <v>75</v>
      </c>
      <c r="AD74" s="14" t="s">
        <v>75</v>
      </c>
      <c r="AE74" s="11" t="s">
        <v>76</v>
      </c>
      <c r="AF74" s="11" t="s">
        <v>1435</v>
      </c>
      <c r="AG74" s="11">
        <v>980.0</v>
      </c>
      <c r="AH74" s="11" t="s">
        <v>63</v>
      </c>
      <c r="AI74" s="11" t="s">
        <v>63</v>
      </c>
      <c r="AJ74" s="11" t="s">
        <v>63</v>
      </c>
      <c r="AK74" s="11" t="s">
        <v>1436</v>
      </c>
      <c r="AL74" s="11" t="s">
        <v>63</v>
      </c>
      <c r="AM74" s="11" t="s">
        <v>1436</v>
      </c>
      <c r="AN74" s="14" t="s">
        <v>615</v>
      </c>
      <c r="AO74" s="11" t="s">
        <v>1437</v>
      </c>
      <c r="AP74" s="11" t="s">
        <v>1438</v>
      </c>
      <c r="AQ74" s="11" t="s">
        <v>75</v>
      </c>
      <c r="AR74" s="11" t="s">
        <v>63</v>
      </c>
      <c r="AS74" s="11" t="s">
        <v>1439</v>
      </c>
      <c r="AT74" s="11" t="s">
        <v>1440</v>
      </c>
      <c r="AU74" s="18" t="s">
        <v>1441</v>
      </c>
      <c r="AV74" s="18" t="s">
        <v>83</v>
      </c>
      <c r="AW74" s="11" t="s">
        <v>84</v>
      </c>
      <c r="AX74" s="18" t="s">
        <v>620</v>
      </c>
      <c r="AY74" s="19" t="s">
        <v>86</v>
      </c>
      <c r="AZ74" s="20"/>
      <c r="BA74" s="24"/>
      <c r="BB74" s="24"/>
      <c r="BC74" s="24"/>
      <c r="BD74" s="24"/>
      <c r="BE74" s="24"/>
      <c r="BF74" s="24"/>
      <c r="BG74" s="24"/>
      <c r="BH74" s="24"/>
      <c r="BI74" s="24"/>
      <c r="BJ74" s="24"/>
      <c r="BK74" s="24"/>
      <c r="BL74" s="24"/>
    </row>
    <row r="75" ht="15.0" customHeight="1">
      <c r="A75" s="98" t="s">
        <v>1442</v>
      </c>
      <c r="B75" s="93" t="s">
        <v>1443</v>
      </c>
      <c r="C75" s="96" t="s">
        <v>1444</v>
      </c>
      <c r="D75" s="93">
        <v>2025.0</v>
      </c>
      <c r="E75" s="93" t="s">
        <v>1405</v>
      </c>
      <c r="F75" s="93" t="s">
        <v>1445</v>
      </c>
      <c r="G75" s="93" t="s">
        <v>1446</v>
      </c>
      <c r="H75" s="64" t="s">
        <v>160</v>
      </c>
      <c r="I75" s="64" t="s">
        <v>505</v>
      </c>
      <c r="J75" s="64" t="s">
        <v>326</v>
      </c>
      <c r="K75" s="64" t="s">
        <v>60</v>
      </c>
      <c r="L75" s="64" t="s">
        <v>457</v>
      </c>
      <c r="M75" s="64" t="s">
        <v>1447</v>
      </c>
      <c r="N75" s="93">
        <v>25.0</v>
      </c>
      <c r="O75" s="93">
        <v>4.0</v>
      </c>
      <c r="P75" s="64" t="s">
        <v>64</v>
      </c>
      <c r="Q75" s="93" t="s">
        <v>1448</v>
      </c>
      <c r="R75" s="93" t="s">
        <v>530</v>
      </c>
      <c r="S75" s="64" t="s">
        <v>67</v>
      </c>
      <c r="T75" s="93" t="s">
        <v>1449</v>
      </c>
      <c r="U75" s="64" t="s">
        <v>187</v>
      </c>
      <c r="V75" s="93" t="s">
        <v>1450</v>
      </c>
      <c r="W75" s="93" t="s">
        <v>667</v>
      </c>
      <c r="X75" s="93" t="s">
        <v>75</v>
      </c>
      <c r="Y75" s="93" t="s">
        <v>75</v>
      </c>
      <c r="Z75" s="93" t="s">
        <v>75</v>
      </c>
      <c r="AA75" s="93" t="s">
        <v>1451</v>
      </c>
      <c r="AB75" s="93" t="s">
        <v>1452</v>
      </c>
      <c r="AC75" s="93" t="s">
        <v>75</v>
      </c>
      <c r="AD75" s="64" t="s">
        <v>75</v>
      </c>
      <c r="AE75" s="93" t="s">
        <v>76</v>
      </c>
      <c r="AF75" s="93">
        <v>0.956</v>
      </c>
      <c r="AG75" s="93">
        <v>275.0</v>
      </c>
      <c r="AH75" s="93" t="s">
        <v>1453</v>
      </c>
      <c r="AI75" s="93" t="s">
        <v>1454</v>
      </c>
      <c r="AJ75" s="93" t="s">
        <v>1455</v>
      </c>
      <c r="AK75" s="93" t="s">
        <v>1456</v>
      </c>
      <c r="AL75" s="93">
        <v>26.0</v>
      </c>
      <c r="AM75" s="93" t="s">
        <v>1457</v>
      </c>
      <c r="AN75" s="64" t="s">
        <v>78</v>
      </c>
      <c r="AO75" s="93" t="s">
        <v>1437</v>
      </c>
      <c r="AP75" s="93" t="s">
        <v>1458</v>
      </c>
      <c r="AQ75" s="93" t="s">
        <v>75</v>
      </c>
      <c r="AR75" s="93" t="s">
        <v>63</v>
      </c>
      <c r="AS75" s="96" t="s">
        <v>1459</v>
      </c>
      <c r="AT75" s="30" t="s">
        <v>1460</v>
      </c>
      <c r="AU75" s="93" t="s">
        <v>1461</v>
      </c>
      <c r="AV75" s="18" t="s">
        <v>83</v>
      </c>
      <c r="AW75" s="11" t="s">
        <v>84</v>
      </c>
      <c r="AX75" s="47" t="s">
        <v>1462</v>
      </c>
      <c r="AY75" s="102" t="s">
        <v>242</v>
      </c>
      <c r="AZ75" s="103"/>
      <c r="BA75" s="104"/>
      <c r="BB75" s="104"/>
      <c r="BC75" s="104"/>
      <c r="BD75" s="104"/>
      <c r="BE75" s="104"/>
      <c r="BF75" s="104"/>
      <c r="BG75" s="104"/>
      <c r="BH75" s="104"/>
      <c r="BI75" s="104"/>
      <c r="BJ75" s="104"/>
      <c r="BK75" s="104"/>
      <c r="BL75" s="104"/>
    </row>
    <row r="76">
      <c r="A76" s="98" t="s">
        <v>1463</v>
      </c>
      <c r="B76" s="93" t="s">
        <v>1464</v>
      </c>
      <c r="C76" s="101" t="s">
        <v>1465</v>
      </c>
      <c r="D76" s="93">
        <v>2024.0</v>
      </c>
      <c r="E76" s="93" t="s">
        <v>643</v>
      </c>
      <c r="F76" s="93" t="s">
        <v>1466</v>
      </c>
      <c r="G76" s="93" t="s">
        <v>1467</v>
      </c>
      <c r="H76" s="64" t="s">
        <v>324</v>
      </c>
      <c r="I76" s="64" t="s">
        <v>325</v>
      </c>
      <c r="J76" s="64" t="s">
        <v>326</v>
      </c>
      <c r="K76" s="64" t="s">
        <v>347</v>
      </c>
      <c r="L76" s="64" t="s">
        <v>94</v>
      </c>
      <c r="M76" s="64" t="s">
        <v>95</v>
      </c>
      <c r="N76" s="93" t="s">
        <v>1468</v>
      </c>
      <c r="O76" s="93" t="s">
        <v>1469</v>
      </c>
      <c r="P76" s="64" t="s">
        <v>1470</v>
      </c>
      <c r="Q76" s="93" t="s">
        <v>1471</v>
      </c>
      <c r="R76" s="93" t="s">
        <v>530</v>
      </c>
      <c r="S76" s="64" t="s">
        <v>63</v>
      </c>
      <c r="T76" s="93" t="s">
        <v>1472</v>
      </c>
      <c r="U76" s="64" t="s">
        <v>69</v>
      </c>
      <c r="V76" s="93" t="s">
        <v>1473</v>
      </c>
      <c r="W76" s="93" t="s">
        <v>63</v>
      </c>
      <c r="X76" s="93" t="s">
        <v>75</v>
      </c>
      <c r="Y76" s="93" t="s">
        <v>75</v>
      </c>
      <c r="Z76" s="93" t="s">
        <v>75</v>
      </c>
      <c r="AA76" s="93" t="s">
        <v>1474</v>
      </c>
      <c r="AB76" s="93" t="s">
        <v>1475</v>
      </c>
      <c r="AC76" s="93" t="s">
        <v>75</v>
      </c>
      <c r="AD76" s="64" t="s">
        <v>75</v>
      </c>
      <c r="AE76" s="93" t="s">
        <v>1476</v>
      </c>
      <c r="AF76" s="93" t="s">
        <v>1477</v>
      </c>
      <c r="AG76" s="93">
        <v>1.5</v>
      </c>
      <c r="AH76" s="93">
        <v>0.606</v>
      </c>
      <c r="AI76" s="93" t="s">
        <v>1478</v>
      </c>
      <c r="AJ76" s="93" t="s">
        <v>63</v>
      </c>
      <c r="AK76" s="93" t="s">
        <v>1479</v>
      </c>
      <c r="AL76" s="93" t="s">
        <v>63</v>
      </c>
      <c r="AM76" s="93" t="s">
        <v>63</v>
      </c>
      <c r="AN76" s="64" t="s">
        <v>615</v>
      </c>
      <c r="AO76" s="93" t="s">
        <v>1480</v>
      </c>
      <c r="AP76" s="93" t="s">
        <v>1481</v>
      </c>
      <c r="AQ76" s="93" t="s">
        <v>75</v>
      </c>
      <c r="AR76" s="93" t="s">
        <v>63</v>
      </c>
      <c r="AS76" s="96" t="s">
        <v>1482</v>
      </c>
      <c r="AT76" s="93" t="s">
        <v>1483</v>
      </c>
      <c r="AU76" s="93" t="s">
        <v>1484</v>
      </c>
      <c r="AV76" s="18" t="s">
        <v>83</v>
      </c>
      <c r="AW76" s="11" t="s">
        <v>84</v>
      </c>
      <c r="AX76" s="47" t="s">
        <v>340</v>
      </c>
      <c r="AY76" s="102" t="s">
        <v>86</v>
      </c>
      <c r="AZ76" s="103"/>
      <c r="BA76" s="104"/>
      <c r="BB76" s="104"/>
      <c r="BC76" s="104"/>
      <c r="BD76" s="104"/>
      <c r="BE76" s="104"/>
      <c r="BF76" s="104"/>
      <c r="BG76" s="104"/>
      <c r="BH76" s="104"/>
      <c r="BI76" s="104"/>
      <c r="BJ76" s="104"/>
      <c r="BK76" s="104"/>
      <c r="BL76" s="104"/>
    </row>
    <row r="77">
      <c r="A77" s="98" t="s">
        <v>1485</v>
      </c>
      <c r="B77" s="93" t="s">
        <v>1486</v>
      </c>
      <c r="C77" s="101" t="s">
        <v>1487</v>
      </c>
      <c r="D77" s="93">
        <v>2024.0</v>
      </c>
      <c r="E77" s="93" t="s">
        <v>1488</v>
      </c>
      <c r="F77" s="93" t="s">
        <v>1489</v>
      </c>
      <c r="G77" s="93" t="s">
        <v>1490</v>
      </c>
      <c r="H77" s="64" t="s">
        <v>324</v>
      </c>
      <c r="I77" s="64" t="s">
        <v>325</v>
      </c>
      <c r="J77" s="64" t="s">
        <v>326</v>
      </c>
      <c r="K77" s="64" t="s">
        <v>60</v>
      </c>
      <c r="L77" s="64" t="s">
        <v>94</v>
      </c>
      <c r="M77" s="64" t="s">
        <v>95</v>
      </c>
      <c r="N77" s="93" t="s">
        <v>63</v>
      </c>
      <c r="O77" s="93" t="s">
        <v>63</v>
      </c>
      <c r="P77" s="64" t="s">
        <v>64</v>
      </c>
      <c r="Q77" s="93" t="s">
        <v>608</v>
      </c>
      <c r="R77" s="93" t="s">
        <v>63</v>
      </c>
      <c r="S77" s="64" t="s">
        <v>228</v>
      </c>
      <c r="T77" s="93" t="s">
        <v>1491</v>
      </c>
      <c r="U77" s="64" t="s">
        <v>69</v>
      </c>
      <c r="V77" s="93" t="s">
        <v>810</v>
      </c>
      <c r="W77" s="93" t="s">
        <v>63</v>
      </c>
      <c r="X77" s="93" t="s">
        <v>63</v>
      </c>
      <c r="Y77" s="93" t="s">
        <v>63</v>
      </c>
      <c r="Z77" s="93" t="s">
        <v>1451</v>
      </c>
      <c r="AA77" s="93" t="s">
        <v>1492</v>
      </c>
      <c r="AB77" s="93" t="s">
        <v>63</v>
      </c>
      <c r="AC77" s="93" t="s">
        <v>63</v>
      </c>
      <c r="AD77" s="64" t="s">
        <v>75</v>
      </c>
      <c r="AE77" s="93" t="s">
        <v>1493</v>
      </c>
      <c r="AF77" s="93" t="s">
        <v>63</v>
      </c>
      <c r="AG77" s="93" t="s">
        <v>1494</v>
      </c>
      <c r="AH77" s="93" t="s">
        <v>1495</v>
      </c>
      <c r="AI77" s="93" t="s">
        <v>63</v>
      </c>
      <c r="AJ77" s="93" t="s">
        <v>63</v>
      </c>
      <c r="AK77" s="93" t="s">
        <v>63</v>
      </c>
      <c r="AL77" s="93" t="s">
        <v>1496</v>
      </c>
      <c r="AM77" s="93" t="s">
        <v>1497</v>
      </c>
      <c r="AN77" s="64" t="s">
        <v>235</v>
      </c>
      <c r="AO77" s="93" t="s">
        <v>75</v>
      </c>
      <c r="AP77" s="93" t="s">
        <v>63</v>
      </c>
      <c r="AQ77" s="93" t="s">
        <v>1498</v>
      </c>
      <c r="AR77" s="93" t="s">
        <v>1499</v>
      </c>
      <c r="AS77" s="96" t="s">
        <v>1500</v>
      </c>
      <c r="AT77" s="93" t="s">
        <v>1501</v>
      </c>
      <c r="AU77" s="93" t="s">
        <v>1502</v>
      </c>
      <c r="AV77" s="18" t="s">
        <v>83</v>
      </c>
      <c r="AW77" s="11" t="s">
        <v>84</v>
      </c>
      <c r="AX77" s="47" t="s">
        <v>340</v>
      </c>
      <c r="AY77" s="102" t="s">
        <v>86</v>
      </c>
      <c r="AZ77" s="103"/>
      <c r="BA77" s="104"/>
      <c r="BB77" s="104"/>
      <c r="BC77" s="104"/>
      <c r="BD77" s="104"/>
      <c r="BE77" s="104"/>
      <c r="BF77" s="104"/>
      <c r="BG77" s="104"/>
      <c r="BH77" s="104"/>
      <c r="BI77" s="104"/>
      <c r="BJ77" s="104"/>
      <c r="BK77" s="104"/>
      <c r="BL77" s="104"/>
    </row>
    <row r="78">
      <c r="A78" s="98" t="s">
        <v>1503</v>
      </c>
      <c r="B78" s="93" t="s">
        <v>1504</v>
      </c>
      <c r="C78" s="101" t="s">
        <v>1505</v>
      </c>
      <c r="D78" s="93">
        <v>2026.0</v>
      </c>
      <c r="E78" s="93" t="s">
        <v>1506</v>
      </c>
      <c r="F78" s="93" t="s">
        <v>1507</v>
      </c>
      <c r="G78" s="93" t="s">
        <v>1508</v>
      </c>
      <c r="H78" s="64" t="s">
        <v>324</v>
      </c>
      <c r="I78" s="64" t="s">
        <v>551</v>
      </c>
      <c r="J78" s="64" t="s">
        <v>326</v>
      </c>
      <c r="K78" s="64" t="s">
        <v>347</v>
      </c>
      <c r="L78" s="64" t="s">
        <v>61</v>
      </c>
      <c r="M78" s="64" t="s">
        <v>62</v>
      </c>
      <c r="N78" s="93" t="s">
        <v>1509</v>
      </c>
      <c r="O78" s="93" t="s">
        <v>1510</v>
      </c>
      <c r="P78" s="64" t="s">
        <v>64</v>
      </c>
      <c r="Q78" s="93" t="s">
        <v>784</v>
      </c>
      <c r="R78" s="93" t="s">
        <v>530</v>
      </c>
      <c r="S78" s="64" t="s">
        <v>271</v>
      </c>
      <c r="T78" s="93" t="s">
        <v>1394</v>
      </c>
      <c r="U78" s="64" t="s">
        <v>1511</v>
      </c>
      <c r="V78" s="93" t="s">
        <v>1512</v>
      </c>
      <c r="W78" s="93" t="s">
        <v>1513</v>
      </c>
      <c r="X78" s="93" t="s">
        <v>75</v>
      </c>
      <c r="Y78" s="93" t="s">
        <v>75</v>
      </c>
      <c r="Z78" s="93" t="s">
        <v>75</v>
      </c>
      <c r="AA78" s="93" t="s">
        <v>1514</v>
      </c>
      <c r="AB78" s="93" t="s">
        <v>1515</v>
      </c>
      <c r="AC78" s="93" t="s">
        <v>75</v>
      </c>
      <c r="AD78" s="64" t="s">
        <v>75</v>
      </c>
      <c r="AE78" s="93" t="s">
        <v>1516</v>
      </c>
      <c r="AF78" s="93" t="s">
        <v>1517</v>
      </c>
      <c r="AG78" s="93" t="s">
        <v>1518</v>
      </c>
      <c r="AH78" s="93" t="s">
        <v>1519</v>
      </c>
      <c r="AI78" s="93" t="s">
        <v>63</v>
      </c>
      <c r="AJ78" s="93" t="s">
        <v>63</v>
      </c>
      <c r="AK78" s="93" t="s">
        <v>1520</v>
      </c>
      <c r="AL78" s="93" t="s">
        <v>1521</v>
      </c>
      <c r="AM78" s="93" t="s">
        <v>63</v>
      </c>
      <c r="AN78" s="64" t="s">
        <v>1522</v>
      </c>
      <c r="AO78" s="93" t="s">
        <v>1523</v>
      </c>
      <c r="AP78" s="93" t="s">
        <v>1524</v>
      </c>
      <c r="AQ78" s="93" t="s">
        <v>75</v>
      </c>
      <c r="AR78" s="93" t="s">
        <v>63</v>
      </c>
      <c r="AS78" s="96" t="s">
        <v>1525</v>
      </c>
      <c r="AT78" s="93" t="s">
        <v>1526</v>
      </c>
      <c r="AU78" s="93" t="s">
        <v>1527</v>
      </c>
      <c r="AV78" s="18" t="s">
        <v>83</v>
      </c>
      <c r="AW78" s="11" t="s">
        <v>84</v>
      </c>
      <c r="AX78" s="47" t="s">
        <v>340</v>
      </c>
      <c r="AY78" s="102" t="s">
        <v>86</v>
      </c>
      <c r="AZ78" s="103"/>
      <c r="BA78" s="104"/>
      <c r="BB78" s="104"/>
      <c r="BC78" s="104"/>
      <c r="BD78" s="104"/>
      <c r="BE78" s="104"/>
      <c r="BF78" s="104"/>
      <c r="BG78" s="104"/>
      <c r="BH78" s="104"/>
      <c r="BI78" s="104"/>
      <c r="BJ78" s="104"/>
      <c r="BK78" s="104"/>
      <c r="BL78" s="104"/>
    </row>
    <row r="79">
      <c r="A79" s="31" t="s">
        <v>1528</v>
      </c>
      <c r="B79" s="78" t="s">
        <v>1529</v>
      </c>
      <c r="C79" s="106" t="s">
        <v>1530</v>
      </c>
      <c r="D79" s="18">
        <v>2025.0</v>
      </c>
      <c r="E79" s="18" t="s">
        <v>454</v>
      </c>
      <c r="F79" s="18" t="s">
        <v>1531</v>
      </c>
      <c r="G79" s="18" t="s">
        <v>1532</v>
      </c>
      <c r="H79" s="15" t="s">
        <v>225</v>
      </c>
      <c r="I79" s="15" t="s">
        <v>551</v>
      </c>
      <c r="J79" s="15" t="s">
        <v>627</v>
      </c>
      <c r="K79" s="15" t="s">
        <v>347</v>
      </c>
      <c r="L79" s="15" t="s">
        <v>457</v>
      </c>
      <c r="M79" s="15" t="s">
        <v>1447</v>
      </c>
      <c r="N79" s="18" t="s">
        <v>954</v>
      </c>
      <c r="O79" s="18" t="s">
        <v>1533</v>
      </c>
      <c r="P79" s="15" t="s">
        <v>64</v>
      </c>
      <c r="Q79" s="18" t="s">
        <v>1534</v>
      </c>
      <c r="R79" s="18" t="s">
        <v>63</v>
      </c>
      <c r="S79" s="15" t="s">
        <v>67</v>
      </c>
      <c r="T79" s="18" t="s">
        <v>1535</v>
      </c>
      <c r="U79" s="15" t="s">
        <v>69</v>
      </c>
      <c r="V79" s="18" t="s">
        <v>63</v>
      </c>
      <c r="W79" s="18" t="s">
        <v>954</v>
      </c>
      <c r="X79" s="18" t="s">
        <v>954</v>
      </c>
      <c r="Y79" s="18" t="s">
        <v>954</v>
      </c>
      <c r="Z79" s="18" t="s">
        <v>954</v>
      </c>
      <c r="AA79" s="18" t="s">
        <v>1536</v>
      </c>
      <c r="AB79" s="18" t="s">
        <v>954</v>
      </c>
      <c r="AC79" s="18" t="s">
        <v>1537</v>
      </c>
      <c r="AD79" s="15" t="s">
        <v>75</v>
      </c>
      <c r="AE79" s="18" t="s">
        <v>76</v>
      </c>
      <c r="AF79" s="57">
        <v>0.9622</v>
      </c>
      <c r="AG79" s="18" t="s">
        <v>1538</v>
      </c>
      <c r="AH79" s="18" t="s">
        <v>1539</v>
      </c>
      <c r="AI79" s="18">
        <v>0.131</v>
      </c>
      <c r="AJ79" s="18" t="s">
        <v>1540</v>
      </c>
      <c r="AK79" s="18" t="s">
        <v>1541</v>
      </c>
      <c r="AL79" s="18" t="s">
        <v>1542</v>
      </c>
      <c r="AM79" s="18" t="s">
        <v>1543</v>
      </c>
      <c r="AN79" s="15" t="s">
        <v>78</v>
      </c>
      <c r="AO79" s="18" t="s">
        <v>1544</v>
      </c>
      <c r="AP79" s="18" t="s">
        <v>83</v>
      </c>
      <c r="AQ79" s="18" t="s">
        <v>75</v>
      </c>
      <c r="AR79" s="18" t="s">
        <v>63</v>
      </c>
      <c r="AS79" s="29" t="s">
        <v>1545</v>
      </c>
      <c r="AT79" s="18" t="s">
        <v>1546</v>
      </c>
      <c r="AU79" s="93" t="s">
        <v>1547</v>
      </c>
      <c r="AV79" s="18" t="s">
        <v>83</v>
      </c>
      <c r="AW79" s="11" t="s">
        <v>84</v>
      </c>
      <c r="AX79" s="18" t="s">
        <v>280</v>
      </c>
      <c r="AY79" s="19" t="s">
        <v>86</v>
      </c>
      <c r="AZ79" s="94"/>
      <c r="BA79" s="95"/>
      <c r="BB79" s="95"/>
      <c r="BC79" s="95"/>
      <c r="BD79" s="95"/>
      <c r="BE79" s="95"/>
      <c r="BF79" s="95"/>
      <c r="BG79" s="95"/>
      <c r="BH79" s="95"/>
      <c r="BI79" s="95"/>
      <c r="BJ79" s="95"/>
      <c r="BK79" s="95"/>
      <c r="BL79" s="95"/>
    </row>
    <row r="80">
      <c r="A80" s="31" t="s">
        <v>1548</v>
      </c>
      <c r="B80" s="78" t="s">
        <v>1549</v>
      </c>
      <c r="C80" s="106" t="s">
        <v>1550</v>
      </c>
      <c r="D80" s="18">
        <v>2021.0</v>
      </c>
      <c r="E80" s="18" t="s">
        <v>1551</v>
      </c>
      <c r="F80" s="18" t="s">
        <v>1552</v>
      </c>
      <c r="G80" s="18" t="s">
        <v>1553</v>
      </c>
      <c r="H80" s="15" t="s">
        <v>225</v>
      </c>
      <c r="I80" s="15" t="s">
        <v>505</v>
      </c>
      <c r="J80" s="15" t="s">
        <v>288</v>
      </c>
      <c r="K80" s="15" t="s">
        <v>60</v>
      </c>
      <c r="L80" s="15" t="s">
        <v>61</v>
      </c>
      <c r="M80" s="15" t="s">
        <v>863</v>
      </c>
      <c r="N80" s="18" t="s">
        <v>1554</v>
      </c>
      <c r="O80" s="18" t="s">
        <v>1555</v>
      </c>
      <c r="P80" s="15" t="s">
        <v>64</v>
      </c>
      <c r="Q80" s="18" t="s">
        <v>1556</v>
      </c>
      <c r="R80" s="18" t="s">
        <v>63</v>
      </c>
      <c r="S80" s="15" t="s">
        <v>67</v>
      </c>
      <c r="T80" s="18" t="s">
        <v>1557</v>
      </c>
      <c r="U80" s="15" t="s">
        <v>230</v>
      </c>
      <c r="V80" s="18" t="s">
        <v>1558</v>
      </c>
      <c r="W80" s="18" t="s">
        <v>1559</v>
      </c>
      <c r="X80" s="18" t="s">
        <v>1560</v>
      </c>
      <c r="Y80" s="18" t="s">
        <v>954</v>
      </c>
      <c r="Z80" s="18" t="s">
        <v>954</v>
      </c>
      <c r="AA80" s="18" t="s">
        <v>1561</v>
      </c>
      <c r="AB80" s="18" t="s">
        <v>954</v>
      </c>
      <c r="AC80" s="18" t="s">
        <v>1254</v>
      </c>
      <c r="AD80" s="15" t="s">
        <v>75</v>
      </c>
      <c r="AE80" s="18" t="s">
        <v>76</v>
      </c>
      <c r="AF80" s="18" t="s">
        <v>1562</v>
      </c>
      <c r="AG80" s="18" t="s">
        <v>1563</v>
      </c>
      <c r="AH80" s="18" t="s">
        <v>954</v>
      </c>
      <c r="AI80" s="18" t="s">
        <v>954</v>
      </c>
      <c r="AJ80" s="18" t="s">
        <v>1564</v>
      </c>
      <c r="AK80" s="18" t="s">
        <v>1565</v>
      </c>
      <c r="AL80" s="18">
        <v>256.0</v>
      </c>
      <c r="AM80" s="18" t="s">
        <v>954</v>
      </c>
      <c r="AN80" s="15" t="s">
        <v>78</v>
      </c>
      <c r="AO80" s="18" t="s">
        <v>1566</v>
      </c>
      <c r="AP80" s="18" t="s">
        <v>83</v>
      </c>
      <c r="AQ80" s="18" t="s">
        <v>75</v>
      </c>
      <c r="AR80" s="18" t="s">
        <v>63</v>
      </c>
      <c r="AS80" s="29" t="s">
        <v>1567</v>
      </c>
      <c r="AT80" s="18" t="s">
        <v>1568</v>
      </c>
      <c r="AU80" s="18" t="s">
        <v>1569</v>
      </c>
      <c r="AV80" s="18" t="s">
        <v>83</v>
      </c>
      <c r="AW80" s="11" t="s">
        <v>84</v>
      </c>
      <c r="AX80" s="18" t="s">
        <v>280</v>
      </c>
      <c r="AY80" s="19" t="s">
        <v>86</v>
      </c>
      <c r="AZ80" s="94"/>
      <c r="BA80" s="95"/>
      <c r="BB80" s="95"/>
      <c r="BC80" s="95"/>
      <c r="BD80" s="95"/>
      <c r="BE80" s="95"/>
      <c r="BF80" s="95"/>
      <c r="BG80" s="95"/>
      <c r="BH80" s="95"/>
      <c r="BI80" s="95"/>
      <c r="BJ80" s="95"/>
      <c r="BK80" s="95"/>
      <c r="BL80" s="95"/>
    </row>
    <row r="81">
      <c r="A81" s="98" t="s">
        <v>1570</v>
      </c>
      <c r="B81" s="78" t="s">
        <v>1571</v>
      </c>
      <c r="C81" s="107" t="s">
        <v>1572</v>
      </c>
      <c r="D81" s="47">
        <v>2025.0</v>
      </c>
      <c r="E81" s="47" t="s">
        <v>1573</v>
      </c>
      <c r="F81" s="47" t="s">
        <v>1574</v>
      </c>
      <c r="G81" s="47" t="s">
        <v>1575</v>
      </c>
      <c r="H81" s="64" t="s">
        <v>607</v>
      </c>
      <c r="I81" s="64" t="s">
        <v>505</v>
      </c>
      <c r="J81" s="64" t="s">
        <v>59</v>
      </c>
      <c r="K81" s="64" t="s">
        <v>60</v>
      </c>
      <c r="L81" s="64" t="s">
        <v>269</v>
      </c>
      <c r="M81" s="64" t="s">
        <v>825</v>
      </c>
      <c r="N81" s="47" t="s">
        <v>1576</v>
      </c>
      <c r="O81" s="47">
        <v>120.0</v>
      </c>
      <c r="P81" s="64" t="s">
        <v>64</v>
      </c>
      <c r="Q81" s="47" t="s">
        <v>1577</v>
      </c>
      <c r="R81" s="47" t="s">
        <v>63</v>
      </c>
      <c r="S81" s="64" t="s">
        <v>228</v>
      </c>
      <c r="T81" s="47" t="s">
        <v>1578</v>
      </c>
      <c r="U81" s="64" t="s">
        <v>272</v>
      </c>
      <c r="V81" s="47" t="s">
        <v>1579</v>
      </c>
      <c r="W81" s="47" t="s">
        <v>954</v>
      </c>
      <c r="X81" s="47" t="s">
        <v>954</v>
      </c>
      <c r="Y81" s="47" t="s">
        <v>954</v>
      </c>
      <c r="Z81" s="47" t="s">
        <v>954</v>
      </c>
      <c r="AA81" s="47" t="s">
        <v>1580</v>
      </c>
      <c r="AB81" s="47" t="s">
        <v>954</v>
      </c>
      <c r="AC81" s="47" t="s">
        <v>1581</v>
      </c>
      <c r="AD81" s="64" t="s">
        <v>75</v>
      </c>
      <c r="AE81" s="47" t="s">
        <v>76</v>
      </c>
      <c r="AF81" s="99">
        <v>0.6688</v>
      </c>
      <c r="AG81" s="47" t="s">
        <v>1582</v>
      </c>
      <c r="AH81" s="47" t="s">
        <v>954</v>
      </c>
      <c r="AI81" s="47" t="s">
        <v>1583</v>
      </c>
      <c r="AJ81" s="47" t="s">
        <v>954</v>
      </c>
      <c r="AK81" s="47" t="s">
        <v>1584</v>
      </c>
      <c r="AL81" s="47" t="s">
        <v>1585</v>
      </c>
      <c r="AM81" s="47" t="s">
        <v>1586</v>
      </c>
      <c r="AN81" s="64" t="s">
        <v>78</v>
      </c>
      <c r="AO81" s="47" t="s">
        <v>954</v>
      </c>
      <c r="AP81" s="47" t="s">
        <v>1587</v>
      </c>
      <c r="AQ81" s="47" t="s">
        <v>75</v>
      </c>
      <c r="AR81" s="47" t="s">
        <v>63</v>
      </c>
      <c r="AS81" s="105" t="s">
        <v>1588</v>
      </c>
      <c r="AT81" s="47" t="s">
        <v>1589</v>
      </c>
      <c r="AU81" s="47" t="s">
        <v>1590</v>
      </c>
      <c r="AV81" s="18" t="s">
        <v>83</v>
      </c>
      <c r="AW81" s="11" t="s">
        <v>84</v>
      </c>
      <c r="AX81" s="47" t="s">
        <v>620</v>
      </c>
      <c r="AY81" s="102" t="s">
        <v>86</v>
      </c>
      <c r="AZ81" s="108"/>
      <c r="BA81" s="109"/>
      <c r="BB81" s="109"/>
      <c r="BC81" s="109"/>
      <c r="BD81" s="109"/>
      <c r="BE81" s="109"/>
      <c r="BF81" s="109"/>
      <c r="BG81" s="109"/>
      <c r="BH81" s="109"/>
      <c r="BI81" s="109"/>
      <c r="BJ81" s="109"/>
      <c r="BK81" s="109"/>
      <c r="BL81" s="109"/>
    </row>
    <row r="82">
      <c r="A82" s="31" t="s">
        <v>1591</v>
      </c>
      <c r="B82" s="78" t="s">
        <v>1592</v>
      </c>
      <c r="C82" s="29" t="s">
        <v>1593</v>
      </c>
      <c r="D82" s="18">
        <v>2023.0</v>
      </c>
      <c r="E82" s="18" t="s">
        <v>90</v>
      </c>
      <c r="F82" s="18" t="s">
        <v>1594</v>
      </c>
      <c r="G82" s="18" t="s">
        <v>1595</v>
      </c>
      <c r="H82" s="15" t="s">
        <v>225</v>
      </c>
      <c r="I82" s="15" t="s">
        <v>505</v>
      </c>
      <c r="J82" s="15" t="s">
        <v>627</v>
      </c>
      <c r="K82" s="15" t="s">
        <v>60</v>
      </c>
      <c r="L82" s="15" t="s">
        <v>249</v>
      </c>
      <c r="M82" s="15" t="s">
        <v>250</v>
      </c>
      <c r="N82" s="18" t="s">
        <v>954</v>
      </c>
      <c r="O82" s="18" t="s">
        <v>1596</v>
      </c>
      <c r="P82" s="15" t="s">
        <v>64</v>
      </c>
      <c r="Q82" s="18" t="s">
        <v>270</v>
      </c>
      <c r="R82" s="18" t="s">
        <v>63</v>
      </c>
      <c r="S82" s="15" t="s">
        <v>228</v>
      </c>
      <c r="T82" s="18" t="s">
        <v>1394</v>
      </c>
      <c r="U82" s="15" t="s">
        <v>187</v>
      </c>
      <c r="V82" s="18" t="s">
        <v>1597</v>
      </c>
      <c r="W82" s="18" t="s">
        <v>1598</v>
      </c>
      <c r="X82" s="18" t="s">
        <v>954</v>
      </c>
      <c r="Y82" s="18" t="s">
        <v>954</v>
      </c>
      <c r="Z82" s="18" t="s">
        <v>954</v>
      </c>
      <c r="AA82" s="18" t="s">
        <v>1599</v>
      </c>
      <c r="AB82" s="18" t="s">
        <v>1600</v>
      </c>
      <c r="AC82" s="18" t="s">
        <v>954</v>
      </c>
      <c r="AD82" s="15" t="s">
        <v>75</v>
      </c>
      <c r="AE82" s="18" t="s">
        <v>1601</v>
      </c>
      <c r="AF82" s="18">
        <v>1.12</v>
      </c>
      <c r="AG82" s="18" t="s">
        <v>1602</v>
      </c>
      <c r="AH82" s="18" t="s">
        <v>954</v>
      </c>
      <c r="AI82" s="18" t="s">
        <v>954</v>
      </c>
      <c r="AJ82" s="18" t="s">
        <v>954</v>
      </c>
      <c r="AK82" s="18">
        <v>137.0</v>
      </c>
      <c r="AL82" s="18">
        <v>125.0</v>
      </c>
      <c r="AM82" s="18">
        <v>137.0</v>
      </c>
      <c r="AN82" s="15" t="s">
        <v>78</v>
      </c>
      <c r="AO82" s="18" t="s">
        <v>1603</v>
      </c>
      <c r="AP82" s="18" t="s">
        <v>1604</v>
      </c>
      <c r="AQ82" s="18" t="s">
        <v>75</v>
      </c>
      <c r="AR82" s="18" t="s">
        <v>63</v>
      </c>
      <c r="AS82" s="29" t="s">
        <v>1605</v>
      </c>
      <c r="AT82" s="18" t="s">
        <v>1606</v>
      </c>
      <c r="AU82" s="18" t="s">
        <v>1607</v>
      </c>
      <c r="AV82" s="18" t="s">
        <v>83</v>
      </c>
      <c r="AW82" s="11" t="s">
        <v>84</v>
      </c>
      <c r="AX82" s="18" t="s">
        <v>280</v>
      </c>
      <c r="AY82" s="19" t="s">
        <v>86</v>
      </c>
      <c r="AZ82" s="94"/>
      <c r="BA82" s="95"/>
      <c r="BB82" s="95"/>
      <c r="BC82" s="95"/>
      <c r="BD82" s="95"/>
      <c r="BE82" s="95"/>
      <c r="BF82" s="95"/>
      <c r="BG82" s="95"/>
      <c r="BH82" s="95"/>
      <c r="BI82" s="95"/>
      <c r="BJ82" s="95"/>
      <c r="BK82" s="95"/>
      <c r="BL82" s="95"/>
    </row>
    <row r="83" ht="15.75" customHeight="1">
      <c r="A83" s="48" t="s">
        <v>1608</v>
      </c>
      <c r="B83" s="110" t="s">
        <v>1609</v>
      </c>
      <c r="C83" s="14" t="s">
        <v>1610</v>
      </c>
      <c r="D83" s="14">
        <v>2023.0</v>
      </c>
      <c r="E83" s="14" t="s">
        <v>222</v>
      </c>
      <c r="F83" s="14" t="s">
        <v>223</v>
      </c>
      <c r="G83" s="14" t="s">
        <v>1611</v>
      </c>
      <c r="H83" s="14" t="s">
        <v>225</v>
      </c>
      <c r="I83" s="14" t="s">
        <v>505</v>
      </c>
      <c r="J83" s="15" t="s">
        <v>59</v>
      </c>
      <c r="K83" s="14" t="s">
        <v>60</v>
      </c>
      <c r="L83" s="14" t="s">
        <v>163</v>
      </c>
      <c r="M83" s="14" t="s">
        <v>164</v>
      </c>
      <c r="N83" s="14" t="s">
        <v>954</v>
      </c>
      <c r="O83" s="14" t="s">
        <v>954</v>
      </c>
      <c r="P83" s="14" t="s">
        <v>64</v>
      </c>
      <c r="Q83" s="14" t="s">
        <v>608</v>
      </c>
      <c r="R83" s="14" t="s">
        <v>63</v>
      </c>
      <c r="S83" s="14" t="s">
        <v>63</v>
      </c>
      <c r="T83" s="14" t="s">
        <v>1394</v>
      </c>
      <c r="U83" s="14" t="s">
        <v>1511</v>
      </c>
      <c r="V83" s="14" t="s">
        <v>1612</v>
      </c>
      <c r="W83" s="14" t="s">
        <v>1613</v>
      </c>
      <c r="X83" s="14" t="s">
        <v>954</v>
      </c>
      <c r="Y83" s="14" t="s">
        <v>954</v>
      </c>
      <c r="Z83" s="14" t="s">
        <v>954</v>
      </c>
      <c r="AA83" s="14" t="s">
        <v>1614</v>
      </c>
      <c r="AB83" s="14" t="s">
        <v>1615</v>
      </c>
      <c r="AC83" s="14" t="s">
        <v>954</v>
      </c>
      <c r="AD83" s="14" t="s">
        <v>75</v>
      </c>
      <c r="AE83" s="14" t="s">
        <v>76</v>
      </c>
      <c r="AF83" s="14" t="s">
        <v>1616</v>
      </c>
      <c r="AG83" s="14">
        <v>4.0</v>
      </c>
      <c r="AH83" s="14" t="s">
        <v>954</v>
      </c>
      <c r="AI83" s="14" t="s">
        <v>1617</v>
      </c>
      <c r="AJ83" s="14" t="s">
        <v>954</v>
      </c>
      <c r="AK83" s="14" t="s">
        <v>954</v>
      </c>
      <c r="AL83" s="14" t="s">
        <v>1618</v>
      </c>
      <c r="AM83" s="14" t="s">
        <v>954</v>
      </c>
      <c r="AN83" s="14" t="s">
        <v>78</v>
      </c>
      <c r="AO83" s="14" t="s">
        <v>954</v>
      </c>
      <c r="AP83" s="14" t="s">
        <v>1619</v>
      </c>
      <c r="AQ83" s="14" t="s">
        <v>75</v>
      </c>
      <c r="AR83" s="14" t="s">
        <v>63</v>
      </c>
      <c r="AS83" s="51" t="s">
        <v>238</v>
      </c>
      <c r="AT83" s="14" t="s">
        <v>1620</v>
      </c>
      <c r="AU83" s="14" t="s">
        <v>1621</v>
      </c>
      <c r="AV83" s="18" t="s">
        <v>83</v>
      </c>
      <c r="AW83" s="11" t="s">
        <v>84</v>
      </c>
      <c r="AX83" s="18" t="s">
        <v>280</v>
      </c>
      <c r="AY83" s="19" t="s">
        <v>86</v>
      </c>
      <c r="AZ83" s="52"/>
    </row>
    <row r="84">
      <c r="A84" s="31" t="s">
        <v>1622</v>
      </c>
      <c r="B84" s="78" t="s">
        <v>1623</v>
      </c>
      <c r="C84" s="18" t="s">
        <v>1624</v>
      </c>
      <c r="D84" s="18">
        <v>2022.0</v>
      </c>
      <c r="E84" s="18" t="s">
        <v>1625</v>
      </c>
      <c r="F84" s="18" t="s">
        <v>1626</v>
      </c>
      <c r="G84" s="18" t="s">
        <v>1627</v>
      </c>
      <c r="H84" s="15" t="s">
        <v>225</v>
      </c>
      <c r="I84" s="15" t="s">
        <v>505</v>
      </c>
      <c r="J84" s="15" t="s">
        <v>308</v>
      </c>
      <c r="K84" s="15" t="s">
        <v>60</v>
      </c>
      <c r="L84" s="15" t="s">
        <v>163</v>
      </c>
      <c r="M84" s="15" t="s">
        <v>164</v>
      </c>
      <c r="N84" s="18" t="s">
        <v>954</v>
      </c>
      <c r="O84" s="18">
        <v>1.0</v>
      </c>
      <c r="P84" s="15" t="s">
        <v>64</v>
      </c>
      <c r="Q84" s="18" t="s">
        <v>1628</v>
      </c>
      <c r="R84" s="18" t="s">
        <v>63</v>
      </c>
      <c r="S84" s="15" t="s">
        <v>67</v>
      </c>
      <c r="T84" s="18" t="s">
        <v>1629</v>
      </c>
      <c r="U84" s="15" t="s">
        <v>69</v>
      </c>
      <c r="V84" s="18" t="s">
        <v>1630</v>
      </c>
      <c r="W84" s="18" t="s">
        <v>954</v>
      </c>
      <c r="X84" s="18" t="s">
        <v>954</v>
      </c>
      <c r="Y84" s="18" t="s">
        <v>1631</v>
      </c>
      <c r="Z84" s="18" t="s">
        <v>954</v>
      </c>
      <c r="AA84" s="18" t="s">
        <v>1632</v>
      </c>
      <c r="AB84" s="18" t="s">
        <v>1633</v>
      </c>
      <c r="AC84" s="18" t="s">
        <v>1634</v>
      </c>
      <c r="AD84" s="15" t="s">
        <v>75</v>
      </c>
      <c r="AE84" s="18" t="s">
        <v>1635</v>
      </c>
      <c r="AF84" s="18">
        <v>0.579</v>
      </c>
      <c r="AG84" s="18" t="s">
        <v>1636</v>
      </c>
      <c r="AH84" s="18" t="s">
        <v>954</v>
      </c>
      <c r="AI84" s="18">
        <v>107.0</v>
      </c>
      <c r="AJ84" s="18" t="s">
        <v>954</v>
      </c>
      <c r="AK84" s="18" t="s">
        <v>1637</v>
      </c>
      <c r="AL84" s="18" t="s">
        <v>1638</v>
      </c>
      <c r="AM84" s="18" t="s">
        <v>954</v>
      </c>
      <c r="AN84" s="15" t="s">
        <v>235</v>
      </c>
      <c r="AO84" s="18" t="s">
        <v>1639</v>
      </c>
      <c r="AP84" s="18" t="s">
        <v>1640</v>
      </c>
      <c r="AQ84" s="18" t="s">
        <v>75</v>
      </c>
      <c r="AR84" s="18" t="s">
        <v>63</v>
      </c>
      <c r="AS84" s="29" t="s">
        <v>1641</v>
      </c>
      <c r="AT84" s="18" t="s">
        <v>1642</v>
      </c>
      <c r="AU84" s="18" t="s">
        <v>1643</v>
      </c>
      <c r="AV84" s="18" t="s">
        <v>83</v>
      </c>
      <c r="AW84" s="11" t="s">
        <v>84</v>
      </c>
      <c r="AX84" s="18" t="s">
        <v>241</v>
      </c>
      <c r="AY84" s="19" t="s">
        <v>242</v>
      </c>
      <c r="AZ84" s="94"/>
      <c r="BA84" s="95"/>
      <c r="BB84" s="95"/>
      <c r="BC84" s="95"/>
      <c r="BD84" s="95"/>
      <c r="BE84" s="95"/>
      <c r="BF84" s="95"/>
      <c r="BG84" s="95"/>
      <c r="BH84" s="95"/>
      <c r="BI84" s="95"/>
      <c r="BJ84" s="95"/>
      <c r="BK84" s="95"/>
      <c r="BL84" s="95"/>
    </row>
    <row r="85">
      <c r="A85" s="31" t="s">
        <v>1644</v>
      </c>
      <c r="B85" s="78" t="s">
        <v>1645</v>
      </c>
      <c r="C85" s="29" t="s">
        <v>1646</v>
      </c>
      <c r="D85" s="18">
        <v>2023.0</v>
      </c>
      <c r="E85" s="18" t="s">
        <v>1647</v>
      </c>
      <c r="F85" s="18" t="s">
        <v>1648</v>
      </c>
      <c r="G85" s="18" t="s">
        <v>1649</v>
      </c>
      <c r="H85" s="15" t="s">
        <v>225</v>
      </c>
      <c r="I85" s="15" t="s">
        <v>505</v>
      </c>
      <c r="J85" s="15" t="s">
        <v>288</v>
      </c>
      <c r="K85" s="15" t="s">
        <v>60</v>
      </c>
      <c r="L85" s="15" t="s">
        <v>249</v>
      </c>
      <c r="M85" s="15" t="s">
        <v>250</v>
      </c>
      <c r="N85" s="18" t="s">
        <v>954</v>
      </c>
      <c r="O85" s="18" t="s">
        <v>1596</v>
      </c>
      <c r="P85" s="15" t="s">
        <v>64</v>
      </c>
      <c r="Q85" s="18" t="s">
        <v>1650</v>
      </c>
      <c r="R85" s="18" t="s">
        <v>63</v>
      </c>
      <c r="S85" s="15" t="s">
        <v>97</v>
      </c>
      <c r="T85" s="18" t="s">
        <v>1651</v>
      </c>
      <c r="U85" s="15" t="s">
        <v>187</v>
      </c>
      <c r="V85" s="18" t="s">
        <v>311</v>
      </c>
      <c r="W85" s="18" t="s">
        <v>1613</v>
      </c>
      <c r="X85" s="18" t="s">
        <v>954</v>
      </c>
      <c r="Y85" s="18" t="s">
        <v>954</v>
      </c>
      <c r="Z85" s="18" t="s">
        <v>954</v>
      </c>
      <c r="AA85" s="18" t="s">
        <v>1652</v>
      </c>
      <c r="AB85" s="18" t="s">
        <v>954</v>
      </c>
      <c r="AC85" s="18" t="s">
        <v>954</v>
      </c>
      <c r="AD85" s="15" t="s">
        <v>75</v>
      </c>
      <c r="AE85" s="18" t="s">
        <v>76</v>
      </c>
      <c r="AF85" s="111">
        <v>1.0</v>
      </c>
      <c r="AG85" s="18" t="s">
        <v>1653</v>
      </c>
      <c r="AH85" s="18" t="s">
        <v>954</v>
      </c>
      <c r="AI85" s="18" t="s">
        <v>954</v>
      </c>
      <c r="AJ85" s="18" t="s">
        <v>954</v>
      </c>
      <c r="AK85" s="18">
        <v>185.4</v>
      </c>
      <c r="AL85" s="18">
        <v>88.0</v>
      </c>
      <c r="AM85" s="18">
        <v>185.4</v>
      </c>
      <c r="AN85" s="15" t="s">
        <v>78</v>
      </c>
      <c r="AO85" s="18" t="s">
        <v>954</v>
      </c>
      <c r="AP85" s="18" t="s">
        <v>1654</v>
      </c>
      <c r="AQ85" s="18" t="s">
        <v>75</v>
      </c>
      <c r="AR85" s="18" t="s">
        <v>63</v>
      </c>
      <c r="AS85" s="54" t="s">
        <v>1646</v>
      </c>
      <c r="AT85" s="18" t="s">
        <v>1655</v>
      </c>
      <c r="AU85" s="18" t="s">
        <v>1656</v>
      </c>
      <c r="AV85" s="18" t="s">
        <v>83</v>
      </c>
      <c r="AW85" s="11" t="s">
        <v>84</v>
      </c>
      <c r="AX85" s="18" t="s">
        <v>280</v>
      </c>
      <c r="AY85" s="19" t="s">
        <v>86</v>
      </c>
      <c r="AZ85" s="94"/>
      <c r="BA85" s="95"/>
      <c r="BB85" s="95"/>
      <c r="BC85" s="95"/>
      <c r="BD85" s="95"/>
      <c r="BE85" s="95"/>
      <c r="BF85" s="95"/>
      <c r="BG85" s="95"/>
      <c r="BH85" s="95"/>
      <c r="BI85" s="95"/>
      <c r="BJ85" s="95"/>
      <c r="BK85" s="95"/>
      <c r="BL85" s="95"/>
    </row>
    <row r="86">
      <c r="A86" s="112" t="s">
        <v>1657</v>
      </c>
      <c r="B86" s="113" t="s">
        <v>1658</v>
      </c>
      <c r="C86" s="114" t="s">
        <v>1659</v>
      </c>
      <c r="D86" s="113">
        <v>2024.0</v>
      </c>
      <c r="E86" s="113" t="s">
        <v>1660</v>
      </c>
      <c r="F86" s="113" t="s">
        <v>1661</v>
      </c>
      <c r="G86" s="113" t="s">
        <v>1662</v>
      </c>
      <c r="H86" s="115" t="s">
        <v>480</v>
      </c>
      <c r="I86" s="115" t="s">
        <v>63</v>
      </c>
      <c r="J86" s="116" t="s">
        <v>1663</v>
      </c>
      <c r="K86" s="115" t="s">
        <v>63</v>
      </c>
      <c r="L86" s="115" t="s">
        <v>63</v>
      </c>
      <c r="M86" s="115" t="s">
        <v>63</v>
      </c>
      <c r="N86" s="113" t="s">
        <v>63</v>
      </c>
      <c r="O86" s="113" t="s">
        <v>63</v>
      </c>
      <c r="P86" s="115" t="s">
        <v>63</v>
      </c>
      <c r="Q86" s="113" t="s">
        <v>63</v>
      </c>
      <c r="R86" s="113" t="s">
        <v>63</v>
      </c>
      <c r="S86" s="115" t="s">
        <v>63</v>
      </c>
      <c r="T86" s="113" t="s">
        <v>63</v>
      </c>
      <c r="U86" s="115" t="s">
        <v>63</v>
      </c>
      <c r="V86" s="113" t="s">
        <v>63</v>
      </c>
      <c r="W86" s="113" t="s">
        <v>63</v>
      </c>
      <c r="X86" s="113" t="s">
        <v>63</v>
      </c>
      <c r="Y86" s="113" t="s">
        <v>63</v>
      </c>
      <c r="Z86" s="113" t="s">
        <v>63</v>
      </c>
      <c r="AA86" s="113" t="s">
        <v>63</v>
      </c>
      <c r="AB86" s="113" t="s">
        <v>63</v>
      </c>
      <c r="AC86" s="113" t="s">
        <v>63</v>
      </c>
      <c r="AD86" s="115" t="s">
        <v>75</v>
      </c>
      <c r="AE86" s="113" t="s">
        <v>63</v>
      </c>
      <c r="AF86" s="113" t="s">
        <v>63</v>
      </c>
      <c r="AG86" s="113" t="s">
        <v>63</v>
      </c>
      <c r="AH86" s="113" t="s">
        <v>63</v>
      </c>
      <c r="AI86" s="113" t="s">
        <v>63</v>
      </c>
      <c r="AJ86" s="113" t="s">
        <v>63</v>
      </c>
      <c r="AK86" s="113" t="s">
        <v>63</v>
      </c>
      <c r="AL86" s="113" t="s">
        <v>63</v>
      </c>
      <c r="AM86" s="113" t="s">
        <v>63</v>
      </c>
      <c r="AN86" s="115" t="s">
        <v>235</v>
      </c>
      <c r="AO86" s="113" t="s">
        <v>63</v>
      </c>
      <c r="AP86" s="113" t="s">
        <v>63</v>
      </c>
      <c r="AQ86" s="113" t="s">
        <v>63</v>
      </c>
      <c r="AR86" s="113" t="s">
        <v>63</v>
      </c>
      <c r="AS86" s="117" t="s">
        <v>1664</v>
      </c>
      <c r="AT86" s="113" t="s">
        <v>1665</v>
      </c>
      <c r="AU86" s="26" t="s">
        <v>1666</v>
      </c>
      <c r="AV86" s="18" t="s">
        <v>83</v>
      </c>
      <c r="AW86" s="11" t="s">
        <v>84</v>
      </c>
      <c r="AX86" s="113" t="s">
        <v>1663</v>
      </c>
      <c r="AY86" s="113" t="s">
        <v>1663</v>
      </c>
      <c r="AZ86" s="118"/>
      <c r="BA86" s="119"/>
      <c r="BB86" s="119"/>
      <c r="BC86" s="119"/>
      <c r="BD86" s="119"/>
      <c r="BE86" s="119"/>
      <c r="BF86" s="119"/>
      <c r="BG86" s="119"/>
      <c r="BH86" s="119"/>
      <c r="BI86" s="119"/>
      <c r="BJ86" s="119"/>
      <c r="BK86" s="119"/>
      <c r="BL86" s="119"/>
    </row>
    <row r="87">
      <c r="A87" s="112" t="s">
        <v>1667</v>
      </c>
      <c r="B87" s="113" t="s">
        <v>1668</v>
      </c>
      <c r="C87" s="113" t="s">
        <v>1669</v>
      </c>
      <c r="D87" s="113">
        <v>2023.0</v>
      </c>
      <c r="E87" s="113" t="s">
        <v>1670</v>
      </c>
      <c r="F87" s="113" t="s">
        <v>1671</v>
      </c>
      <c r="G87" s="113" t="s">
        <v>1672</v>
      </c>
      <c r="H87" s="115" t="s">
        <v>480</v>
      </c>
      <c r="I87" s="115" t="s">
        <v>63</v>
      </c>
      <c r="J87" s="116" t="s">
        <v>1663</v>
      </c>
      <c r="K87" s="115" t="s">
        <v>63</v>
      </c>
      <c r="L87" s="115" t="s">
        <v>63</v>
      </c>
      <c r="M87" s="115" t="s">
        <v>63</v>
      </c>
      <c r="N87" s="113" t="s">
        <v>63</v>
      </c>
      <c r="O87" s="113" t="s">
        <v>63</v>
      </c>
      <c r="P87" s="115" t="s">
        <v>63</v>
      </c>
      <c r="Q87" s="113" t="s">
        <v>63</v>
      </c>
      <c r="R87" s="113" t="s">
        <v>63</v>
      </c>
      <c r="S87" s="115" t="s">
        <v>63</v>
      </c>
      <c r="T87" s="113" t="s">
        <v>63</v>
      </c>
      <c r="U87" s="115" t="s">
        <v>63</v>
      </c>
      <c r="V87" s="113" t="s">
        <v>63</v>
      </c>
      <c r="W87" s="113" t="s">
        <v>63</v>
      </c>
      <c r="X87" s="113" t="s">
        <v>63</v>
      </c>
      <c r="Y87" s="113" t="s">
        <v>63</v>
      </c>
      <c r="Z87" s="113" t="s">
        <v>63</v>
      </c>
      <c r="AA87" s="113" t="s">
        <v>63</v>
      </c>
      <c r="AB87" s="113" t="s">
        <v>63</v>
      </c>
      <c r="AC87" s="113" t="s">
        <v>63</v>
      </c>
      <c r="AD87" s="115" t="s">
        <v>75</v>
      </c>
      <c r="AE87" s="113" t="s">
        <v>63</v>
      </c>
      <c r="AF87" s="113" t="s">
        <v>63</v>
      </c>
      <c r="AG87" s="113" t="s">
        <v>63</v>
      </c>
      <c r="AH87" s="113" t="s">
        <v>63</v>
      </c>
      <c r="AI87" s="113" t="s">
        <v>63</v>
      </c>
      <c r="AJ87" s="113" t="s">
        <v>63</v>
      </c>
      <c r="AK87" s="113" t="s">
        <v>63</v>
      </c>
      <c r="AL87" s="113" t="s">
        <v>63</v>
      </c>
      <c r="AM87" s="113" t="s">
        <v>63</v>
      </c>
      <c r="AN87" s="115" t="s">
        <v>235</v>
      </c>
      <c r="AO87" s="113" t="s">
        <v>63</v>
      </c>
      <c r="AP87" s="113" t="s">
        <v>63</v>
      </c>
      <c r="AQ87" s="113" t="s">
        <v>63</v>
      </c>
      <c r="AR87" s="113" t="s">
        <v>63</v>
      </c>
      <c r="AS87" s="117" t="s">
        <v>1673</v>
      </c>
      <c r="AT87" s="113" t="s">
        <v>1674</v>
      </c>
      <c r="AU87" s="113" t="s">
        <v>1666</v>
      </c>
      <c r="AV87" s="18" t="s">
        <v>83</v>
      </c>
      <c r="AW87" s="11" t="s">
        <v>84</v>
      </c>
      <c r="AX87" s="113" t="s">
        <v>1663</v>
      </c>
      <c r="AY87" s="113" t="s">
        <v>1663</v>
      </c>
      <c r="AZ87" s="118"/>
      <c r="BA87" s="119"/>
      <c r="BB87" s="119"/>
      <c r="BC87" s="119"/>
      <c r="BD87" s="119"/>
      <c r="BE87" s="119"/>
      <c r="BF87" s="119"/>
      <c r="BG87" s="119"/>
      <c r="BH87" s="119"/>
      <c r="BI87" s="119"/>
      <c r="BJ87" s="119"/>
      <c r="BK87" s="119"/>
      <c r="BL87" s="119"/>
    </row>
    <row r="88">
      <c r="A88" s="120" t="s">
        <v>1675</v>
      </c>
      <c r="B88" s="78" t="s">
        <v>1676</v>
      </c>
      <c r="C88" s="121" t="s">
        <v>1677</v>
      </c>
      <c r="D88" s="121">
        <v>2024.0</v>
      </c>
      <c r="E88" s="121" t="s">
        <v>1678</v>
      </c>
      <c r="F88" s="121" t="s">
        <v>1679</v>
      </c>
      <c r="G88" s="121" t="s">
        <v>1680</v>
      </c>
      <c r="H88" s="15" t="s">
        <v>225</v>
      </c>
      <c r="I88" s="15" t="s">
        <v>505</v>
      </c>
      <c r="J88" s="15" t="s">
        <v>288</v>
      </c>
      <c r="K88" s="15" t="s">
        <v>60</v>
      </c>
      <c r="L88" s="15" t="s">
        <v>249</v>
      </c>
      <c r="M88" s="15" t="s">
        <v>250</v>
      </c>
      <c r="N88" s="121" t="s">
        <v>954</v>
      </c>
      <c r="O88" s="121" t="s">
        <v>1596</v>
      </c>
      <c r="P88" s="15" t="s">
        <v>64</v>
      </c>
      <c r="Q88" s="121" t="s">
        <v>1681</v>
      </c>
      <c r="R88" s="121" t="s">
        <v>63</v>
      </c>
      <c r="S88" s="15" t="s">
        <v>228</v>
      </c>
      <c r="T88" s="121" t="s">
        <v>186</v>
      </c>
      <c r="U88" s="15" t="s">
        <v>187</v>
      </c>
      <c r="V88" s="121" t="s">
        <v>989</v>
      </c>
      <c r="W88" s="121" t="s">
        <v>954</v>
      </c>
      <c r="X88" s="121" t="s">
        <v>954</v>
      </c>
      <c r="Y88" s="121" t="s">
        <v>954</v>
      </c>
      <c r="Z88" s="121" t="s">
        <v>954</v>
      </c>
      <c r="AA88" s="121" t="s">
        <v>1682</v>
      </c>
      <c r="AB88" s="121" t="s">
        <v>63</v>
      </c>
      <c r="AC88" s="121" t="s">
        <v>954</v>
      </c>
      <c r="AD88" s="15" t="s">
        <v>75</v>
      </c>
      <c r="AE88" s="121" t="s">
        <v>76</v>
      </c>
      <c r="AF88" s="122">
        <v>0.9338</v>
      </c>
      <c r="AG88" s="121">
        <v>7509.0</v>
      </c>
      <c r="AH88" s="121" t="s">
        <v>954</v>
      </c>
      <c r="AI88" s="121" t="s">
        <v>954</v>
      </c>
      <c r="AJ88" s="121" t="s">
        <v>954</v>
      </c>
      <c r="AK88" s="121" t="s">
        <v>954</v>
      </c>
      <c r="AL88" s="121" t="s">
        <v>954</v>
      </c>
      <c r="AM88" s="121" t="s">
        <v>954</v>
      </c>
      <c r="AN88" s="15" t="s">
        <v>78</v>
      </c>
      <c r="AO88" s="121" t="s">
        <v>954</v>
      </c>
      <c r="AP88" s="121" t="s">
        <v>1683</v>
      </c>
      <c r="AQ88" s="121" t="s">
        <v>75</v>
      </c>
      <c r="AR88" s="123" t="s">
        <v>63</v>
      </c>
      <c r="AS88" s="124" t="s">
        <v>1684</v>
      </c>
      <c r="AT88" s="123" t="s">
        <v>1685</v>
      </c>
      <c r="AU88" s="123" t="s">
        <v>1686</v>
      </c>
      <c r="AV88" s="18" t="s">
        <v>83</v>
      </c>
      <c r="AW88" s="11" t="s">
        <v>84</v>
      </c>
      <c r="AX88" s="18" t="s">
        <v>280</v>
      </c>
      <c r="AY88" s="19" t="s">
        <v>86</v>
      </c>
      <c r="AZ88" s="125"/>
      <c r="BA88" s="126"/>
      <c r="BB88" s="119"/>
      <c r="BC88" s="119"/>
      <c r="BD88" s="119"/>
      <c r="BE88" s="119"/>
      <c r="BF88" s="119"/>
      <c r="BG88" s="119"/>
      <c r="BH88" s="119"/>
      <c r="BI88" s="119"/>
      <c r="BJ88" s="119"/>
      <c r="BK88" s="119"/>
      <c r="BL88" s="119"/>
    </row>
    <row r="89">
      <c r="A89" s="127" t="s">
        <v>1687</v>
      </c>
      <c r="B89" s="78" t="s">
        <v>1688</v>
      </c>
      <c r="C89" s="123" t="s">
        <v>1689</v>
      </c>
      <c r="D89" s="123">
        <v>2022.0</v>
      </c>
      <c r="E89" s="123" t="s">
        <v>246</v>
      </c>
      <c r="F89" s="123" t="s">
        <v>1690</v>
      </c>
      <c r="G89" s="123" t="s">
        <v>1691</v>
      </c>
      <c r="H89" s="15" t="s">
        <v>225</v>
      </c>
      <c r="I89" s="15" t="s">
        <v>505</v>
      </c>
      <c r="J89" s="15" t="s">
        <v>288</v>
      </c>
      <c r="K89" s="15" t="s">
        <v>60</v>
      </c>
      <c r="L89" s="15" t="s">
        <v>249</v>
      </c>
      <c r="M89" s="15" t="s">
        <v>250</v>
      </c>
      <c r="N89" s="123" t="s">
        <v>954</v>
      </c>
      <c r="O89" s="123" t="s">
        <v>1596</v>
      </c>
      <c r="P89" s="15" t="s">
        <v>64</v>
      </c>
      <c r="Q89" s="123" t="s">
        <v>1692</v>
      </c>
      <c r="R89" s="123" t="s">
        <v>530</v>
      </c>
      <c r="S89" s="15" t="s">
        <v>67</v>
      </c>
      <c r="T89" s="123" t="s">
        <v>212</v>
      </c>
      <c r="U89" s="15" t="s">
        <v>187</v>
      </c>
      <c r="V89" s="123" t="s">
        <v>1693</v>
      </c>
      <c r="W89" s="123" t="s">
        <v>1694</v>
      </c>
      <c r="X89" s="123" t="s">
        <v>954</v>
      </c>
      <c r="Y89" s="123" t="s">
        <v>954</v>
      </c>
      <c r="Z89" s="123" t="s">
        <v>954</v>
      </c>
      <c r="AA89" s="123" t="s">
        <v>1695</v>
      </c>
      <c r="AB89" s="123" t="s">
        <v>63</v>
      </c>
      <c r="AC89" s="123" t="s">
        <v>954</v>
      </c>
      <c r="AD89" s="15" t="s">
        <v>75</v>
      </c>
      <c r="AE89" s="123" t="s">
        <v>76</v>
      </c>
      <c r="AF89" s="128">
        <v>0.95</v>
      </c>
      <c r="AG89" s="123" t="s">
        <v>1696</v>
      </c>
      <c r="AH89" s="123" t="s">
        <v>954</v>
      </c>
      <c r="AI89" s="123" t="s">
        <v>954</v>
      </c>
      <c r="AJ89" s="123" t="s">
        <v>1697</v>
      </c>
      <c r="AK89" s="123" t="s">
        <v>954</v>
      </c>
      <c r="AL89" s="123" t="s">
        <v>1698</v>
      </c>
      <c r="AM89" s="123" t="s">
        <v>1699</v>
      </c>
      <c r="AN89" s="15" t="s">
        <v>78</v>
      </c>
      <c r="AO89" s="123" t="s">
        <v>954</v>
      </c>
      <c r="AP89" s="123" t="s">
        <v>1700</v>
      </c>
      <c r="AQ89" s="121" t="s">
        <v>83</v>
      </c>
      <c r="AR89" s="129" t="s">
        <v>1701</v>
      </c>
      <c r="AS89" s="124" t="s">
        <v>1702</v>
      </c>
      <c r="AT89" s="123" t="s">
        <v>1703</v>
      </c>
      <c r="AU89" s="123" t="s">
        <v>1704</v>
      </c>
      <c r="AV89" s="18" t="s">
        <v>83</v>
      </c>
      <c r="AW89" s="11" t="s">
        <v>84</v>
      </c>
      <c r="AX89" s="18" t="s">
        <v>280</v>
      </c>
      <c r="AY89" s="19" t="s">
        <v>86</v>
      </c>
      <c r="AZ89" s="125"/>
      <c r="BA89" s="126"/>
      <c r="BB89" s="119"/>
      <c r="BC89" s="119"/>
      <c r="BD89" s="119"/>
      <c r="BE89" s="119"/>
      <c r="BF89" s="119"/>
      <c r="BG89" s="119"/>
      <c r="BH89" s="119"/>
      <c r="BI89" s="119"/>
      <c r="BJ89" s="119"/>
      <c r="BK89" s="119"/>
      <c r="BL89" s="119"/>
    </row>
    <row r="90">
      <c r="A90" s="127" t="s">
        <v>1705</v>
      </c>
      <c r="B90" s="78" t="s">
        <v>1706</v>
      </c>
      <c r="C90" s="123" t="s">
        <v>1707</v>
      </c>
      <c r="D90" s="123">
        <v>2024.0</v>
      </c>
      <c r="E90" s="123" t="s">
        <v>1708</v>
      </c>
      <c r="F90" s="123" t="s">
        <v>1709</v>
      </c>
      <c r="G90" s="123" t="s">
        <v>1710</v>
      </c>
      <c r="H90" s="15" t="s">
        <v>225</v>
      </c>
      <c r="I90" s="15" t="s">
        <v>505</v>
      </c>
      <c r="J90" s="15" t="s">
        <v>59</v>
      </c>
      <c r="K90" s="15" t="s">
        <v>60</v>
      </c>
      <c r="L90" s="15" t="s">
        <v>249</v>
      </c>
      <c r="M90" s="15" t="s">
        <v>250</v>
      </c>
      <c r="N90" s="123" t="s">
        <v>954</v>
      </c>
      <c r="O90" s="123" t="s">
        <v>1711</v>
      </c>
      <c r="P90" s="15" t="s">
        <v>64</v>
      </c>
      <c r="Q90" s="123" t="s">
        <v>1712</v>
      </c>
      <c r="R90" s="123" t="s">
        <v>63</v>
      </c>
      <c r="S90" s="15" t="s">
        <v>228</v>
      </c>
      <c r="T90" s="123" t="s">
        <v>1713</v>
      </c>
      <c r="U90" s="15" t="s">
        <v>187</v>
      </c>
      <c r="V90" s="123" t="s">
        <v>1714</v>
      </c>
      <c r="W90" s="123" t="s">
        <v>1715</v>
      </c>
      <c r="X90" s="123" t="s">
        <v>83</v>
      </c>
      <c r="Y90" s="123" t="s">
        <v>75</v>
      </c>
      <c r="Z90" s="123" t="s">
        <v>75</v>
      </c>
      <c r="AA90" s="123" t="s">
        <v>1716</v>
      </c>
      <c r="AB90" s="123" t="s">
        <v>1716</v>
      </c>
      <c r="AC90" s="123" t="s">
        <v>954</v>
      </c>
      <c r="AD90" s="15" t="s">
        <v>75</v>
      </c>
      <c r="AE90" s="123" t="s">
        <v>76</v>
      </c>
      <c r="AF90" s="128">
        <v>0.788</v>
      </c>
      <c r="AG90" s="123">
        <v>0.6</v>
      </c>
      <c r="AH90" s="123" t="s">
        <v>954</v>
      </c>
      <c r="AI90" s="123" t="s">
        <v>954</v>
      </c>
      <c r="AJ90" s="123" t="s">
        <v>954</v>
      </c>
      <c r="AK90" s="123" t="s">
        <v>954</v>
      </c>
      <c r="AL90" s="123" t="s">
        <v>954</v>
      </c>
      <c r="AM90" s="123" t="s">
        <v>1717</v>
      </c>
      <c r="AN90" s="15" t="s">
        <v>78</v>
      </c>
      <c r="AO90" s="123" t="s">
        <v>954</v>
      </c>
      <c r="AP90" s="123" t="s">
        <v>1718</v>
      </c>
      <c r="AQ90" s="121" t="s">
        <v>75</v>
      </c>
      <c r="AR90" s="130" t="s">
        <v>63</v>
      </c>
      <c r="AS90" s="124" t="s">
        <v>1719</v>
      </c>
      <c r="AT90" s="123" t="s">
        <v>1720</v>
      </c>
      <c r="AU90" s="123" t="s">
        <v>1721</v>
      </c>
      <c r="AV90" s="18" t="s">
        <v>83</v>
      </c>
      <c r="AW90" s="11" t="s">
        <v>84</v>
      </c>
      <c r="AX90" s="18" t="s">
        <v>280</v>
      </c>
      <c r="AY90" s="19" t="s">
        <v>86</v>
      </c>
      <c r="AZ90" s="125"/>
      <c r="BA90" s="126"/>
      <c r="BB90" s="119"/>
      <c r="BC90" s="119"/>
      <c r="BD90" s="119"/>
      <c r="BE90" s="119"/>
      <c r="BF90" s="119"/>
      <c r="BG90" s="119"/>
      <c r="BH90" s="119"/>
      <c r="BI90" s="119"/>
      <c r="BJ90" s="119"/>
      <c r="BK90" s="119"/>
      <c r="BL90" s="119"/>
    </row>
    <row r="91">
      <c r="A91" s="127" t="s">
        <v>1722</v>
      </c>
      <c r="B91" s="78" t="s">
        <v>1723</v>
      </c>
      <c r="C91" s="123" t="s">
        <v>1724</v>
      </c>
      <c r="D91" s="123">
        <v>2025.0</v>
      </c>
      <c r="E91" s="123" t="s">
        <v>1725</v>
      </c>
      <c r="F91" s="123" t="s">
        <v>1726</v>
      </c>
      <c r="G91" s="123" t="s">
        <v>1727</v>
      </c>
      <c r="H91" s="15" t="s">
        <v>225</v>
      </c>
      <c r="I91" s="15" t="s">
        <v>505</v>
      </c>
      <c r="J91" s="15" t="s">
        <v>268</v>
      </c>
      <c r="K91" s="15" t="s">
        <v>347</v>
      </c>
      <c r="L91" s="15" t="s">
        <v>457</v>
      </c>
      <c r="M91" s="15" t="s">
        <v>95</v>
      </c>
      <c r="N91" s="123">
        <v>50.0</v>
      </c>
      <c r="O91" s="123">
        <v>2.0</v>
      </c>
      <c r="P91" s="15" t="s">
        <v>64</v>
      </c>
      <c r="Q91" s="123" t="s">
        <v>1728</v>
      </c>
      <c r="R91" s="123" t="s">
        <v>63</v>
      </c>
      <c r="S91" s="15" t="s">
        <v>228</v>
      </c>
      <c r="T91" s="123" t="s">
        <v>1729</v>
      </c>
      <c r="U91" s="15" t="s">
        <v>272</v>
      </c>
      <c r="V91" s="123" t="s">
        <v>1730</v>
      </c>
      <c r="W91" s="123" t="s">
        <v>1731</v>
      </c>
      <c r="X91" s="123" t="s">
        <v>954</v>
      </c>
      <c r="Y91" s="123" t="s">
        <v>954</v>
      </c>
      <c r="Z91" s="123" t="s">
        <v>954</v>
      </c>
      <c r="AA91" s="123" t="s">
        <v>1732</v>
      </c>
      <c r="AB91" s="123" t="s">
        <v>1733</v>
      </c>
      <c r="AC91" s="123" t="s">
        <v>954</v>
      </c>
      <c r="AD91" s="15" t="s">
        <v>75</v>
      </c>
      <c r="AE91" s="123" t="s">
        <v>76</v>
      </c>
      <c r="AF91" s="128">
        <v>0.9786</v>
      </c>
      <c r="AG91" s="123">
        <v>1.0</v>
      </c>
      <c r="AH91" s="123" t="s">
        <v>954</v>
      </c>
      <c r="AI91" s="123" t="s">
        <v>954</v>
      </c>
      <c r="AJ91" s="123" t="s">
        <v>954</v>
      </c>
      <c r="AK91" s="123">
        <v>15.2</v>
      </c>
      <c r="AL91" s="123">
        <v>1.7</v>
      </c>
      <c r="AM91" s="123" t="s">
        <v>954</v>
      </c>
      <c r="AN91" s="15" t="s">
        <v>78</v>
      </c>
      <c r="AO91" s="123" t="s">
        <v>954</v>
      </c>
      <c r="AP91" s="123" t="s">
        <v>1734</v>
      </c>
      <c r="AQ91" s="121" t="s">
        <v>75</v>
      </c>
      <c r="AR91" s="123" t="s">
        <v>63</v>
      </c>
      <c r="AS91" s="124" t="s">
        <v>1735</v>
      </c>
      <c r="AT91" s="121" t="s">
        <v>1736</v>
      </c>
      <c r="AU91" s="121" t="s">
        <v>1737</v>
      </c>
      <c r="AV91" s="18" t="s">
        <v>83</v>
      </c>
      <c r="AW91" s="11" t="s">
        <v>84</v>
      </c>
      <c r="AX91" s="18" t="s">
        <v>280</v>
      </c>
      <c r="AY91" s="19" t="s">
        <v>86</v>
      </c>
      <c r="AZ91" s="125"/>
      <c r="BA91" s="126"/>
      <c r="BB91" s="119"/>
      <c r="BC91" s="119"/>
      <c r="BD91" s="119"/>
      <c r="BE91" s="119"/>
      <c r="BF91" s="119"/>
      <c r="BG91" s="119"/>
      <c r="BH91" s="119"/>
      <c r="BI91" s="119"/>
      <c r="BJ91" s="119"/>
      <c r="BK91" s="119"/>
      <c r="BL91" s="119"/>
    </row>
    <row r="92">
      <c r="A92" s="120" t="s">
        <v>1738</v>
      </c>
      <c r="B92" s="78" t="s">
        <v>1739</v>
      </c>
      <c r="C92" s="121" t="s">
        <v>1740</v>
      </c>
      <c r="D92" s="121">
        <v>2025.0</v>
      </c>
      <c r="E92" s="121" t="s">
        <v>1741</v>
      </c>
      <c r="F92" s="121" t="s">
        <v>1742</v>
      </c>
      <c r="G92" s="121" t="s">
        <v>1743</v>
      </c>
      <c r="H92" s="15" t="s">
        <v>225</v>
      </c>
      <c r="I92" s="15" t="s">
        <v>505</v>
      </c>
      <c r="J92" s="15" t="s">
        <v>288</v>
      </c>
      <c r="K92" s="15" t="s">
        <v>60</v>
      </c>
      <c r="L92" s="15" t="s">
        <v>249</v>
      </c>
      <c r="M92" s="15" t="s">
        <v>250</v>
      </c>
      <c r="N92" s="121" t="s">
        <v>954</v>
      </c>
      <c r="O92" s="121" t="s">
        <v>1596</v>
      </c>
      <c r="P92" s="15" t="s">
        <v>64</v>
      </c>
      <c r="Q92" s="121" t="s">
        <v>1744</v>
      </c>
      <c r="R92" s="121" t="s">
        <v>63</v>
      </c>
      <c r="S92" s="15" t="s">
        <v>228</v>
      </c>
      <c r="T92" s="121" t="s">
        <v>954</v>
      </c>
      <c r="U92" s="15" t="s">
        <v>187</v>
      </c>
      <c r="V92" s="121" t="s">
        <v>1745</v>
      </c>
      <c r="W92" s="121" t="s">
        <v>954</v>
      </c>
      <c r="X92" s="121" t="s">
        <v>954</v>
      </c>
      <c r="Y92" s="121" t="s">
        <v>1746</v>
      </c>
      <c r="Z92" s="121" t="s">
        <v>954</v>
      </c>
      <c r="AA92" s="121" t="s">
        <v>1747</v>
      </c>
      <c r="AB92" s="121" t="s">
        <v>1748</v>
      </c>
      <c r="AC92" s="121" t="s">
        <v>954</v>
      </c>
      <c r="AD92" s="15" t="s">
        <v>75</v>
      </c>
      <c r="AE92" s="121" t="s">
        <v>76</v>
      </c>
      <c r="AF92" s="122">
        <v>0.969</v>
      </c>
      <c r="AG92" s="121">
        <v>328.0</v>
      </c>
      <c r="AH92" s="121" t="s">
        <v>1749</v>
      </c>
      <c r="AI92" s="121" t="s">
        <v>954</v>
      </c>
      <c r="AJ92" s="121" t="s">
        <v>954</v>
      </c>
      <c r="AK92" s="121">
        <v>1024.0</v>
      </c>
      <c r="AL92" s="121">
        <v>256.0</v>
      </c>
      <c r="AM92" s="121" t="s">
        <v>954</v>
      </c>
      <c r="AN92" s="15" t="s">
        <v>78</v>
      </c>
      <c r="AO92" s="121" t="s">
        <v>954</v>
      </c>
      <c r="AP92" s="121" t="s">
        <v>1750</v>
      </c>
      <c r="AQ92" s="121" t="s">
        <v>75</v>
      </c>
      <c r="AR92" s="123" t="s">
        <v>63</v>
      </c>
      <c r="AS92" s="124" t="s">
        <v>1751</v>
      </c>
      <c r="AT92" s="123" t="s">
        <v>1752</v>
      </c>
      <c r="AU92" s="123" t="s">
        <v>1753</v>
      </c>
      <c r="AV92" s="18" t="s">
        <v>83</v>
      </c>
      <c r="AW92" s="11" t="s">
        <v>84</v>
      </c>
      <c r="AX92" s="18" t="s">
        <v>280</v>
      </c>
      <c r="AY92" s="19" t="s">
        <v>86</v>
      </c>
      <c r="AZ92" s="125"/>
      <c r="BA92" s="126"/>
      <c r="BB92" s="119"/>
      <c r="BC92" s="119"/>
      <c r="BD92" s="119"/>
      <c r="BE92" s="119"/>
      <c r="BF92" s="119"/>
      <c r="BG92" s="119"/>
      <c r="BH92" s="119"/>
      <c r="BI92" s="119"/>
      <c r="BJ92" s="119"/>
      <c r="BK92" s="119"/>
      <c r="BL92" s="119"/>
    </row>
    <row r="93">
      <c r="A93" s="120" t="s">
        <v>1754</v>
      </c>
      <c r="B93" s="113" t="s">
        <v>1755</v>
      </c>
      <c r="C93" s="114" t="s">
        <v>1756</v>
      </c>
      <c r="D93" s="113">
        <v>2024.0</v>
      </c>
      <c r="E93" s="113" t="s">
        <v>1757</v>
      </c>
      <c r="F93" s="113" t="s">
        <v>1758</v>
      </c>
      <c r="G93" s="113" t="s">
        <v>1759</v>
      </c>
      <c r="H93" s="115" t="s">
        <v>324</v>
      </c>
      <c r="I93" s="115" t="s">
        <v>325</v>
      </c>
      <c r="J93" s="115" t="s">
        <v>308</v>
      </c>
      <c r="K93" s="115" t="s">
        <v>347</v>
      </c>
      <c r="L93" s="115" t="s">
        <v>118</v>
      </c>
      <c r="M93" s="115" t="s">
        <v>863</v>
      </c>
      <c r="N93" s="113">
        <v>360.0</v>
      </c>
      <c r="O93" s="113" t="s">
        <v>1760</v>
      </c>
      <c r="P93" s="115" t="s">
        <v>64</v>
      </c>
      <c r="Q93" s="113" t="s">
        <v>1761</v>
      </c>
      <c r="R93" s="113" t="s">
        <v>1762</v>
      </c>
      <c r="S93" s="115" t="s">
        <v>63</v>
      </c>
      <c r="T93" s="113" t="s">
        <v>1763</v>
      </c>
      <c r="U93" s="115" t="s">
        <v>1764</v>
      </c>
      <c r="V93" s="113" t="s">
        <v>1765</v>
      </c>
      <c r="W93" s="113" t="s">
        <v>1766</v>
      </c>
      <c r="X93" s="113" t="s">
        <v>75</v>
      </c>
      <c r="Y93" s="113" t="s">
        <v>75</v>
      </c>
      <c r="Z93" s="113" t="s">
        <v>75</v>
      </c>
      <c r="AA93" s="113" t="s">
        <v>1343</v>
      </c>
      <c r="AB93" s="113" t="s">
        <v>1767</v>
      </c>
      <c r="AC93" s="113" t="s">
        <v>75</v>
      </c>
      <c r="AD93" s="115" t="s">
        <v>75</v>
      </c>
      <c r="AE93" s="113" t="s">
        <v>76</v>
      </c>
      <c r="AF93" s="113" t="s">
        <v>1768</v>
      </c>
      <c r="AG93" s="113">
        <v>4.28</v>
      </c>
      <c r="AH93" s="113">
        <v>0.09</v>
      </c>
      <c r="AI93" s="113">
        <v>20.33</v>
      </c>
      <c r="AJ93" s="113" t="s">
        <v>63</v>
      </c>
      <c r="AK93" s="113">
        <v>49.0</v>
      </c>
      <c r="AL93" s="113">
        <v>128.0</v>
      </c>
      <c r="AM93" s="113">
        <v>49.0</v>
      </c>
      <c r="AN93" s="115" t="s">
        <v>78</v>
      </c>
      <c r="AO93" s="113" t="s">
        <v>63</v>
      </c>
      <c r="AP93" s="113" t="s">
        <v>83</v>
      </c>
      <c r="AQ93" s="113" t="s">
        <v>75</v>
      </c>
      <c r="AR93" s="113" t="s">
        <v>63</v>
      </c>
      <c r="AS93" s="117" t="s">
        <v>1769</v>
      </c>
      <c r="AT93" s="113" t="s">
        <v>1770</v>
      </c>
      <c r="AU93" s="113" t="s">
        <v>1771</v>
      </c>
      <c r="AV93" s="18" t="s">
        <v>83</v>
      </c>
      <c r="AW93" s="11" t="s">
        <v>84</v>
      </c>
      <c r="AX93" s="47" t="s">
        <v>340</v>
      </c>
      <c r="AY93" s="102" t="s">
        <v>86</v>
      </c>
      <c r="AZ93" s="118"/>
      <c r="BA93" s="119"/>
      <c r="BB93" s="119"/>
      <c r="BC93" s="119"/>
      <c r="BD93" s="119"/>
      <c r="BE93" s="119"/>
      <c r="BF93" s="119"/>
      <c r="BG93" s="119"/>
      <c r="BH93" s="119"/>
      <c r="BI93" s="119"/>
      <c r="BJ93" s="119"/>
      <c r="BK93" s="119"/>
      <c r="BL93" s="119"/>
    </row>
    <row r="94">
      <c r="A94" s="120" t="s">
        <v>1772</v>
      </c>
      <c r="B94" s="113" t="s">
        <v>1773</v>
      </c>
      <c r="C94" s="114" t="s">
        <v>1774</v>
      </c>
      <c r="D94" s="113">
        <v>2022.0</v>
      </c>
      <c r="E94" s="113" t="s">
        <v>1775</v>
      </c>
      <c r="F94" s="113" t="s">
        <v>1776</v>
      </c>
      <c r="G94" s="113" t="s">
        <v>1777</v>
      </c>
      <c r="H94" s="115" t="s">
        <v>324</v>
      </c>
      <c r="I94" s="115" t="s">
        <v>505</v>
      </c>
      <c r="J94" s="115" t="s">
        <v>326</v>
      </c>
      <c r="K94" s="115" t="s">
        <v>347</v>
      </c>
      <c r="L94" s="115" t="s">
        <v>61</v>
      </c>
      <c r="M94" s="115" t="s">
        <v>1778</v>
      </c>
      <c r="N94" s="113" t="s">
        <v>1779</v>
      </c>
      <c r="O94" s="113" t="s">
        <v>1780</v>
      </c>
      <c r="P94" s="115" t="s">
        <v>64</v>
      </c>
      <c r="Q94" s="113" t="s">
        <v>1781</v>
      </c>
      <c r="R94" s="113" t="s">
        <v>63</v>
      </c>
      <c r="S94" s="115" t="s">
        <v>228</v>
      </c>
      <c r="T94" s="113" t="s">
        <v>1782</v>
      </c>
      <c r="U94" s="115" t="s">
        <v>187</v>
      </c>
      <c r="V94" s="113" t="s">
        <v>1783</v>
      </c>
      <c r="W94" s="113" t="s">
        <v>1784</v>
      </c>
      <c r="X94" s="113" t="s">
        <v>63</v>
      </c>
      <c r="Y94" s="113" t="s">
        <v>63</v>
      </c>
      <c r="Z94" s="113" t="s">
        <v>83</v>
      </c>
      <c r="AA94" s="113" t="s">
        <v>1785</v>
      </c>
      <c r="AB94" s="113" t="s">
        <v>1786</v>
      </c>
      <c r="AC94" s="113" t="s">
        <v>63</v>
      </c>
      <c r="AD94" s="115" t="s">
        <v>75</v>
      </c>
      <c r="AE94" s="113" t="s">
        <v>76</v>
      </c>
      <c r="AF94" s="113">
        <v>95.74</v>
      </c>
      <c r="AG94" s="113">
        <v>16.2</v>
      </c>
      <c r="AH94" s="113">
        <v>61.59</v>
      </c>
      <c r="AI94" s="113" t="s">
        <v>63</v>
      </c>
      <c r="AJ94" s="113" t="s">
        <v>1787</v>
      </c>
      <c r="AK94" s="113" t="s">
        <v>63</v>
      </c>
      <c r="AL94" s="113">
        <v>520.0</v>
      </c>
      <c r="AM94" s="113">
        <v>23.17</v>
      </c>
      <c r="AN94" s="115" t="s">
        <v>235</v>
      </c>
      <c r="AO94" s="113" t="s">
        <v>63</v>
      </c>
      <c r="AP94" s="113" t="s">
        <v>75</v>
      </c>
      <c r="AQ94" s="113" t="s">
        <v>75</v>
      </c>
      <c r="AR94" s="113" t="s">
        <v>63</v>
      </c>
      <c r="AS94" s="117" t="s">
        <v>1788</v>
      </c>
      <c r="AT94" s="113" t="s">
        <v>1789</v>
      </c>
      <c r="AU94" s="113" t="s">
        <v>1790</v>
      </c>
      <c r="AV94" s="18" t="s">
        <v>83</v>
      </c>
      <c r="AW94" s="11" t="s">
        <v>84</v>
      </c>
      <c r="AX94" s="47" t="s">
        <v>340</v>
      </c>
      <c r="AY94" s="102" t="s">
        <v>86</v>
      </c>
      <c r="AZ94" s="118"/>
      <c r="BA94" s="119"/>
      <c r="BB94" s="119"/>
      <c r="BC94" s="119"/>
      <c r="BD94" s="119"/>
      <c r="BE94" s="119"/>
      <c r="BF94" s="119"/>
      <c r="BG94" s="119"/>
      <c r="BH94" s="119"/>
      <c r="BI94" s="119"/>
      <c r="BJ94" s="119"/>
      <c r="BK94" s="119"/>
      <c r="BL94" s="119"/>
    </row>
    <row r="95">
      <c r="A95" s="120" t="s">
        <v>1791</v>
      </c>
      <c r="B95" s="113" t="s">
        <v>1792</v>
      </c>
      <c r="C95" s="114" t="s">
        <v>1793</v>
      </c>
      <c r="D95" s="113">
        <v>2022.0</v>
      </c>
      <c r="E95" s="113" t="s">
        <v>1794</v>
      </c>
      <c r="F95" s="113" t="s">
        <v>1795</v>
      </c>
      <c r="G95" s="113" t="s">
        <v>1796</v>
      </c>
      <c r="H95" s="115" t="s">
        <v>324</v>
      </c>
      <c r="I95" s="115" t="s">
        <v>505</v>
      </c>
      <c r="J95" s="115" t="s">
        <v>326</v>
      </c>
      <c r="K95" s="131"/>
      <c r="L95" s="115" t="s">
        <v>61</v>
      </c>
      <c r="M95" s="115" t="s">
        <v>1778</v>
      </c>
      <c r="N95" s="113">
        <v>50.0</v>
      </c>
      <c r="O95" s="113">
        <v>5.0</v>
      </c>
      <c r="P95" s="115" t="s">
        <v>64</v>
      </c>
      <c r="Q95" s="113" t="s">
        <v>1797</v>
      </c>
      <c r="R95" s="113"/>
      <c r="S95" s="115" t="s">
        <v>228</v>
      </c>
      <c r="T95" s="113" t="s">
        <v>1798</v>
      </c>
      <c r="U95" s="115" t="s">
        <v>69</v>
      </c>
      <c r="V95" s="113" t="s">
        <v>1799</v>
      </c>
      <c r="W95" s="113"/>
      <c r="X95" s="113" t="s">
        <v>75</v>
      </c>
      <c r="Y95" s="113" t="s">
        <v>75</v>
      </c>
      <c r="Z95" s="113" t="s">
        <v>1343</v>
      </c>
      <c r="AA95" s="113" t="s">
        <v>1800</v>
      </c>
      <c r="AB95" s="113"/>
      <c r="AC95" s="113" t="s">
        <v>63</v>
      </c>
      <c r="AD95" s="115" t="s">
        <v>75</v>
      </c>
      <c r="AE95" s="113">
        <v>0.87</v>
      </c>
      <c r="AF95" s="113">
        <v>4.7</v>
      </c>
      <c r="AG95" s="113" t="s">
        <v>63</v>
      </c>
      <c r="AH95" s="113">
        <v>3.8</v>
      </c>
      <c r="AI95" s="113" t="s">
        <v>63</v>
      </c>
      <c r="AJ95" s="113">
        <v>37.2</v>
      </c>
      <c r="AK95" s="113" t="s">
        <v>63</v>
      </c>
      <c r="AL95" s="113" t="s">
        <v>63</v>
      </c>
      <c r="AM95" s="113" t="s">
        <v>63</v>
      </c>
      <c r="AN95" s="115" t="s">
        <v>235</v>
      </c>
      <c r="AO95" s="113" t="s">
        <v>63</v>
      </c>
      <c r="AP95" s="113" t="s">
        <v>83</v>
      </c>
      <c r="AQ95" s="113" t="s">
        <v>75</v>
      </c>
      <c r="AR95" s="113" t="s">
        <v>63</v>
      </c>
      <c r="AS95" s="117" t="s">
        <v>1793</v>
      </c>
      <c r="AT95" s="113" t="s">
        <v>1801</v>
      </c>
      <c r="AU95" s="113" t="s">
        <v>1802</v>
      </c>
      <c r="AV95" s="18" t="s">
        <v>83</v>
      </c>
      <c r="AW95" s="11" t="s">
        <v>84</v>
      </c>
      <c r="AX95" s="47" t="s">
        <v>340</v>
      </c>
      <c r="AY95" s="102" t="s">
        <v>86</v>
      </c>
      <c r="AZ95" s="118"/>
      <c r="BA95" s="119"/>
      <c r="BB95" s="119"/>
      <c r="BC95" s="119"/>
      <c r="BD95" s="119"/>
      <c r="BE95" s="119"/>
      <c r="BF95" s="119"/>
      <c r="BG95" s="119"/>
      <c r="BH95" s="119"/>
      <c r="BI95" s="119"/>
      <c r="BJ95" s="119"/>
      <c r="BK95" s="119"/>
      <c r="BL95" s="119"/>
    </row>
    <row r="96">
      <c r="A96" s="98" t="s">
        <v>1803</v>
      </c>
      <c r="B96" s="113" t="s">
        <v>1804</v>
      </c>
      <c r="C96" s="114" t="s">
        <v>1805</v>
      </c>
      <c r="D96" s="113">
        <v>2025.0</v>
      </c>
      <c r="E96" s="113" t="s">
        <v>1806</v>
      </c>
      <c r="F96" s="113" t="s">
        <v>1807</v>
      </c>
      <c r="G96" s="113" t="s">
        <v>1808</v>
      </c>
      <c r="H96" s="115" t="s">
        <v>607</v>
      </c>
      <c r="I96" s="115" t="s">
        <v>525</v>
      </c>
      <c r="J96" s="115" t="s">
        <v>1226</v>
      </c>
      <c r="K96" s="131" t="s">
        <v>60</v>
      </c>
      <c r="L96" s="115" t="s">
        <v>249</v>
      </c>
      <c r="M96" s="115" t="s">
        <v>250</v>
      </c>
      <c r="N96" s="113" t="s">
        <v>1809</v>
      </c>
      <c r="O96" s="113" t="s">
        <v>805</v>
      </c>
      <c r="P96" s="115" t="s">
        <v>706</v>
      </c>
      <c r="Q96" s="113" t="s">
        <v>1810</v>
      </c>
      <c r="R96" s="113" t="s">
        <v>1811</v>
      </c>
      <c r="S96" s="115" t="s">
        <v>228</v>
      </c>
      <c r="T96" s="113" t="s">
        <v>1812</v>
      </c>
      <c r="U96" s="115" t="s">
        <v>187</v>
      </c>
      <c r="V96" s="113" t="s">
        <v>1813</v>
      </c>
      <c r="W96" s="113" t="s">
        <v>1814</v>
      </c>
      <c r="X96" s="113" t="s">
        <v>1815</v>
      </c>
      <c r="Y96" s="113" t="s">
        <v>1815</v>
      </c>
      <c r="Z96" s="113" t="s">
        <v>75</v>
      </c>
      <c r="AA96" s="113" t="s">
        <v>1816</v>
      </c>
      <c r="AB96" s="113" t="s">
        <v>1817</v>
      </c>
      <c r="AC96" s="113" t="s">
        <v>1818</v>
      </c>
      <c r="AD96" s="115" t="s">
        <v>75</v>
      </c>
      <c r="AE96" s="113" t="s">
        <v>1819</v>
      </c>
      <c r="AF96" s="113" t="s">
        <v>1820</v>
      </c>
      <c r="AG96" s="113" t="s">
        <v>1821</v>
      </c>
      <c r="AH96" s="113" t="s">
        <v>954</v>
      </c>
      <c r="AI96" s="113" t="s">
        <v>954</v>
      </c>
      <c r="AJ96" s="113" t="s">
        <v>954</v>
      </c>
      <c r="AK96" s="113" t="s">
        <v>954</v>
      </c>
      <c r="AL96" s="113" t="s">
        <v>1822</v>
      </c>
      <c r="AM96" s="113">
        <v>2600.0</v>
      </c>
      <c r="AN96" s="115" t="s">
        <v>78</v>
      </c>
      <c r="AO96" s="113" t="s">
        <v>1823</v>
      </c>
      <c r="AP96" s="113" t="s">
        <v>1824</v>
      </c>
      <c r="AQ96" s="113" t="s">
        <v>75</v>
      </c>
      <c r="AR96" s="113" t="s">
        <v>63</v>
      </c>
      <c r="AS96" s="114" t="s">
        <v>1805</v>
      </c>
      <c r="AT96" s="113" t="s">
        <v>1825</v>
      </c>
      <c r="AU96" s="113" t="s">
        <v>1826</v>
      </c>
      <c r="AV96" s="18" t="s">
        <v>83</v>
      </c>
      <c r="AW96" s="11" t="s">
        <v>84</v>
      </c>
      <c r="AX96" s="113" t="s">
        <v>1827</v>
      </c>
      <c r="AY96" s="132" t="s">
        <v>261</v>
      </c>
      <c r="AZ96" s="118"/>
      <c r="BA96" s="119"/>
      <c r="BB96" s="119"/>
      <c r="BC96" s="119"/>
      <c r="BD96" s="119"/>
      <c r="BE96" s="119"/>
      <c r="BF96" s="119"/>
      <c r="BG96" s="119"/>
      <c r="BH96" s="119"/>
      <c r="BI96" s="119"/>
      <c r="BJ96" s="119"/>
      <c r="BK96" s="119"/>
      <c r="BL96" s="119"/>
    </row>
    <row r="97" ht="15.75" customHeight="1">
      <c r="A97" s="120" t="s">
        <v>1828</v>
      </c>
      <c r="B97" s="47" t="s">
        <v>1829</v>
      </c>
      <c r="C97" s="133" t="s">
        <v>1830</v>
      </c>
      <c r="D97" s="47">
        <v>2018.0</v>
      </c>
      <c r="E97" s="47" t="s">
        <v>502</v>
      </c>
      <c r="F97" s="47" t="s">
        <v>1831</v>
      </c>
      <c r="G97" s="47" t="s">
        <v>1832</v>
      </c>
      <c r="H97" s="64" t="s">
        <v>160</v>
      </c>
      <c r="I97" s="64" t="s">
        <v>505</v>
      </c>
      <c r="J97" s="64" t="s">
        <v>161</v>
      </c>
      <c r="K97" s="115" t="s">
        <v>63</v>
      </c>
      <c r="L97" s="64" t="s">
        <v>163</v>
      </c>
      <c r="M97" s="64" t="s">
        <v>164</v>
      </c>
      <c r="N97" s="47">
        <v>16000.0</v>
      </c>
      <c r="O97" s="47">
        <v>1.0</v>
      </c>
      <c r="P97" s="64" t="s">
        <v>1833</v>
      </c>
      <c r="Q97" s="47" t="s">
        <v>485</v>
      </c>
      <c r="R97" s="47" t="s">
        <v>485</v>
      </c>
      <c r="S97" s="64" t="s">
        <v>63</v>
      </c>
      <c r="T97" s="47" t="s">
        <v>1834</v>
      </c>
      <c r="U97" s="64" t="s">
        <v>187</v>
      </c>
      <c r="V97" s="47" t="s">
        <v>485</v>
      </c>
      <c r="W97" s="47" t="s">
        <v>530</v>
      </c>
      <c r="X97" s="47" t="s">
        <v>530</v>
      </c>
      <c r="Y97" s="47" t="s">
        <v>530</v>
      </c>
      <c r="Z97" s="47" t="s">
        <v>530</v>
      </c>
      <c r="AA97" s="47" t="s">
        <v>1835</v>
      </c>
      <c r="AB97" s="47" t="s">
        <v>485</v>
      </c>
      <c r="AC97" s="47" t="s">
        <v>485</v>
      </c>
      <c r="AD97" s="64" t="s">
        <v>75</v>
      </c>
      <c r="AE97" s="99">
        <v>0.882</v>
      </c>
      <c r="AF97" s="47" t="s">
        <v>485</v>
      </c>
      <c r="AG97" s="47" t="s">
        <v>63</v>
      </c>
      <c r="AH97" s="47" t="s">
        <v>63</v>
      </c>
      <c r="AI97" s="47" t="s">
        <v>63</v>
      </c>
      <c r="AJ97" s="47" t="s">
        <v>63</v>
      </c>
      <c r="AK97" s="47" t="s">
        <v>63</v>
      </c>
      <c r="AL97" s="47" t="s">
        <v>63</v>
      </c>
      <c r="AM97" s="47" t="s">
        <v>63</v>
      </c>
      <c r="AN97" s="64" t="s">
        <v>235</v>
      </c>
      <c r="AO97" s="47" t="s">
        <v>63</v>
      </c>
      <c r="AP97" s="47" t="s">
        <v>63</v>
      </c>
      <c r="AQ97" s="47" t="s">
        <v>83</v>
      </c>
      <c r="AR97" s="133" t="s">
        <v>1836</v>
      </c>
      <c r="AS97" s="105" t="s">
        <v>1837</v>
      </c>
      <c r="AT97" s="47" t="s">
        <v>1838</v>
      </c>
      <c r="AU97" s="47" t="s">
        <v>541</v>
      </c>
      <c r="AV97" s="18" t="s">
        <v>83</v>
      </c>
      <c r="AW97" s="11" t="s">
        <v>84</v>
      </c>
      <c r="AX97" s="47" t="s">
        <v>620</v>
      </c>
      <c r="AY97" s="102" t="s">
        <v>86</v>
      </c>
      <c r="AZ97" s="134"/>
      <c r="BA97" s="135"/>
      <c r="BB97" s="135"/>
      <c r="BC97" s="135"/>
      <c r="BD97" s="135"/>
      <c r="BE97" s="135"/>
      <c r="BF97" s="135"/>
      <c r="BG97" s="135"/>
      <c r="BH97" s="135"/>
      <c r="BI97" s="135"/>
      <c r="BJ97" s="135"/>
      <c r="BK97" s="135"/>
      <c r="BL97" s="135"/>
    </row>
    <row r="98" ht="15.75" customHeight="1">
      <c r="A98" s="98" t="s">
        <v>1839</v>
      </c>
      <c r="B98" s="47" t="s">
        <v>1840</v>
      </c>
      <c r="C98" s="133" t="s">
        <v>1841</v>
      </c>
      <c r="D98" s="47">
        <v>2024.0</v>
      </c>
      <c r="E98" s="47" t="s">
        <v>1842</v>
      </c>
      <c r="F98" s="47" t="s">
        <v>1843</v>
      </c>
      <c r="G98" s="47" t="s">
        <v>1844</v>
      </c>
      <c r="H98" s="64" t="s">
        <v>480</v>
      </c>
      <c r="I98" s="64" t="s">
        <v>142</v>
      </c>
      <c r="J98" s="64" t="s">
        <v>481</v>
      </c>
      <c r="K98" s="64" t="s">
        <v>506</v>
      </c>
      <c r="L98" s="64" t="s">
        <v>63</v>
      </c>
      <c r="M98" s="64" t="s">
        <v>95</v>
      </c>
      <c r="N98" s="47" t="s">
        <v>954</v>
      </c>
      <c r="O98" s="47" t="s">
        <v>954</v>
      </c>
      <c r="P98" s="64" t="s">
        <v>64</v>
      </c>
      <c r="Q98" s="47" t="s">
        <v>1845</v>
      </c>
      <c r="R98" s="47" t="s">
        <v>954</v>
      </c>
      <c r="S98" s="64" t="s">
        <v>228</v>
      </c>
      <c r="T98" s="47" t="s">
        <v>1846</v>
      </c>
      <c r="U98" s="64" t="s">
        <v>69</v>
      </c>
      <c r="V98" s="47" t="s">
        <v>1847</v>
      </c>
      <c r="W98" s="47" t="s">
        <v>83</v>
      </c>
      <c r="X98" s="47" t="s">
        <v>954</v>
      </c>
      <c r="Y98" s="47" t="s">
        <v>954</v>
      </c>
      <c r="Z98" s="47" t="s">
        <v>954</v>
      </c>
      <c r="AA98" s="47" t="s">
        <v>1848</v>
      </c>
      <c r="AB98" s="47" t="s">
        <v>1849</v>
      </c>
      <c r="AC98" s="47" t="s">
        <v>954</v>
      </c>
      <c r="AD98" s="64" t="s">
        <v>75</v>
      </c>
      <c r="AE98" s="47" t="s">
        <v>1101</v>
      </c>
      <c r="AF98" s="47" t="s">
        <v>1086</v>
      </c>
      <c r="AG98" s="47" t="s">
        <v>1086</v>
      </c>
      <c r="AH98" s="47" t="s">
        <v>954</v>
      </c>
      <c r="AI98" s="47" t="s">
        <v>1086</v>
      </c>
      <c r="AJ98" s="47" t="s">
        <v>1086</v>
      </c>
      <c r="AK98" s="47" t="s">
        <v>1086</v>
      </c>
      <c r="AL98" s="47" t="s">
        <v>954</v>
      </c>
      <c r="AM98" s="47" t="s">
        <v>1850</v>
      </c>
      <c r="AN98" s="64" t="s">
        <v>235</v>
      </c>
      <c r="AO98" s="47" t="s">
        <v>954</v>
      </c>
      <c r="AP98" s="47" t="s">
        <v>75</v>
      </c>
      <c r="AQ98" s="47" t="s">
        <v>83</v>
      </c>
      <c r="AR98" s="133" t="s">
        <v>1851</v>
      </c>
      <c r="AS98" s="133" t="s">
        <v>1852</v>
      </c>
      <c r="AT98" s="47" t="s">
        <v>1853</v>
      </c>
      <c r="AU98" s="47" t="s">
        <v>1854</v>
      </c>
      <c r="AV98" s="18" t="s">
        <v>83</v>
      </c>
      <c r="AW98" s="11" t="s">
        <v>84</v>
      </c>
      <c r="AX98" s="47" t="s">
        <v>498</v>
      </c>
      <c r="AY98" s="102" t="s">
        <v>86</v>
      </c>
      <c r="AZ98" s="136"/>
      <c r="BA98" s="137"/>
      <c r="BB98" s="137"/>
      <c r="BC98" s="137"/>
      <c r="BD98" s="137"/>
      <c r="BE98" s="137"/>
      <c r="BF98" s="137"/>
      <c r="BG98" s="137"/>
      <c r="BH98" s="137"/>
      <c r="BI98" s="137"/>
      <c r="BJ98" s="137"/>
      <c r="BK98" s="137"/>
      <c r="BL98" s="137"/>
    </row>
    <row r="99" ht="15.75" customHeight="1">
      <c r="A99" s="98" t="s">
        <v>1855</v>
      </c>
      <c r="B99" s="47" t="s">
        <v>1856</v>
      </c>
      <c r="C99" s="133" t="s">
        <v>1857</v>
      </c>
      <c r="D99" s="47">
        <v>2021.0</v>
      </c>
      <c r="E99" s="47" t="s">
        <v>502</v>
      </c>
      <c r="F99" s="47" t="s">
        <v>1858</v>
      </c>
      <c r="G99" s="47" t="s">
        <v>1859</v>
      </c>
      <c r="H99" s="64" t="s">
        <v>480</v>
      </c>
      <c r="I99" s="64" t="s">
        <v>505</v>
      </c>
      <c r="J99" s="64" t="s">
        <v>1860</v>
      </c>
      <c r="K99" s="64" t="s">
        <v>63</v>
      </c>
      <c r="L99" s="64" t="s">
        <v>63</v>
      </c>
      <c r="M99" s="64" t="s">
        <v>250</v>
      </c>
      <c r="N99" s="47" t="s">
        <v>954</v>
      </c>
      <c r="O99" s="47" t="s">
        <v>954</v>
      </c>
      <c r="P99" s="64" t="s">
        <v>64</v>
      </c>
      <c r="Q99" s="47" t="s">
        <v>1861</v>
      </c>
      <c r="R99" s="47" t="s">
        <v>954</v>
      </c>
      <c r="S99" s="64" t="s">
        <v>63</v>
      </c>
      <c r="T99" s="47" t="s">
        <v>1862</v>
      </c>
      <c r="U99" s="64" t="s">
        <v>187</v>
      </c>
      <c r="V99" s="47" t="s">
        <v>954</v>
      </c>
      <c r="W99" s="47" t="s">
        <v>83</v>
      </c>
      <c r="X99" s="47" t="s">
        <v>954</v>
      </c>
      <c r="Y99" s="47" t="s">
        <v>954</v>
      </c>
      <c r="Z99" s="47" t="s">
        <v>954</v>
      </c>
      <c r="AA99" s="47" t="s">
        <v>1863</v>
      </c>
      <c r="AB99" s="47" t="s">
        <v>530</v>
      </c>
      <c r="AC99" s="47" t="s">
        <v>954</v>
      </c>
      <c r="AD99" s="64" t="s">
        <v>75</v>
      </c>
      <c r="AE99" s="47" t="s">
        <v>1864</v>
      </c>
      <c r="AF99" s="47" t="s">
        <v>954</v>
      </c>
      <c r="AG99" s="47" t="s">
        <v>1086</v>
      </c>
      <c r="AH99" s="47" t="s">
        <v>1086</v>
      </c>
      <c r="AI99" s="47" t="s">
        <v>954</v>
      </c>
      <c r="AJ99" s="47" t="s">
        <v>954</v>
      </c>
      <c r="AK99" s="47" t="s">
        <v>954</v>
      </c>
      <c r="AL99" s="47" t="s">
        <v>954</v>
      </c>
      <c r="AM99" s="47" t="s">
        <v>954</v>
      </c>
      <c r="AN99" s="64" t="s">
        <v>235</v>
      </c>
      <c r="AO99" s="47" t="s">
        <v>954</v>
      </c>
      <c r="AP99" s="47" t="s">
        <v>75</v>
      </c>
      <c r="AQ99" s="47" t="s">
        <v>75</v>
      </c>
      <c r="AR99" s="47" t="s">
        <v>954</v>
      </c>
      <c r="AS99" s="133" t="s">
        <v>1865</v>
      </c>
      <c r="AT99" s="47" t="s">
        <v>1866</v>
      </c>
      <c r="AU99" s="47" t="s">
        <v>1867</v>
      </c>
      <c r="AV99" s="18" t="s">
        <v>83</v>
      </c>
      <c r="AW99" s="11" t="s">
        <v>84</v>
      </c>
      <c r="AX99" s="47" t="s">
        <v>498</v>
      </c>
      <c r="AY99" s="102" t="s">
        <v>86</v>
      </c>
      <c r="AZ99" s="136"/>
      <c r="BA99" s="137"/>
      <c r="BB99" s="137"/>
      <c r="BC99" s="137"/>
      <c r="BD99" s="137"/>
      <c r="BE99" s="137"/>
      <c r="BF99" s="137"/>
      <c r="BG99" s="137"/>
      <c r="BH99" s="137"/>
      <c r="BI99" s="137"/>
      <c r="BJ99" s="137"/>
      <c r="BK99" s="137"/>
      <c r="BL99" s="137"/>
    </row>
    <row r="100" ht="15.75" customHeight="1">
      <c r="A100" s="98" t="s">
        <v>1868</v>
      </c>
      <c r="B100" s="47" t="s">
        <v>1869</v>
      </c>
      <c r="C100" s="138" t="s">
        <v>1870</v>
      </c>
      <c r="D100" s="47">
        <v>2024.0</v>
      </c>
      <c r="E100" s="47" t="s">
        <v>1871</v>
      </c>
      <c r="F100" s="47" t="s">
        <v>1872</v>
      </c>
      <c r="G100" s="47" t="s">
        <v>1873</v>
      </c>
      <c r="H100" s="64" t="s">
        <v>480</v>
      </c>
      <c r="I100" s="64" t="s">
        <v>142</v>
      </c>
      <c r="J100" s="64" t="s">
        <v>481</v>
      </c>
      <c r="K100" s="64" t="s">
        <v>506</v>
      </c>
      <c r="L100" s="64" t="s">
        <v>118</v>
      </c>
      <c r="M100" s="64" t="s">
        <v>95</v>
      </c>
      <c r="N100" s="47" t="s">
        <v>954</v>
      </c>
      <c r="O100" s="47" t="s">
        <v>954</v>
      </c>
      <c r="P100" s="64" t="s">
        <v>955</v>
      </c>
      <c r="Q100" s="47" t="s">
        <v>1874</v>
      </c>
      <c r="R100" s="47" t="s">
        <v>954</v>
      </c>
      <c r="S100" s="64" t="s">
        <v>228</v>
      </c>
      <c r="T100" s="47" t="s">
        <v>1875</v>
      </c>
      <c r="U100" s="64" t="s">
        <v>69</v>
      </c>
      <c r="V100" s="47" t="s">
        <v>1876</v>
      </c>
      <c r="W100" s="47" t="s">
        <v>83</v>
      </c>
      <c r="X100" s="47" t="s">
        <v>75</v>
      </c>
      <c r="Y100" s="47" t="s">
        <v>75</v>
      </c>
      <c r="Z100" s="47" t="s">
        <v>75</v>
      </c>
      <c r="AA100" s="47" t="s">
        <v>1877</v>
      </c>
      <c r="AB100" s="47" t="s">
        <v>1877</v>
      </c>
      <c r="AC100" s="47" t="s">
        <v>954</v>
      </c>
      <c r="AD100" s="64" t="s">
        <v>75</v>
      </c>
      <c r="AE100" s="47" t="s">
        <v>1878</v>
      </c>
      <c r="AF100" s="47" t="s">
        <v>1086</v>
      </c>
      <c r="AG100" s="47" t="s">
        <v>1086</v>
      </c>
      <c r="AH100" s="47" t="s">
        <v>954</v>
      </c>
      <c r="AI100" s="47" t="s">
        <v>1086</v>
      </c>
      <c r="AJ100" s="47" t="s">
        <v>1086</v>
      </c>
      <c r="AK100" s="47" t="s">
        <v>1086</v>
      </c>
      <c r="AL100" s="47" t="s">
        <v>1086</v>
      </c>
      <c r="AM100" s="47" t="s">
        <v>1879</v>
      </c>
      <c r="AN100" s="64" t="s">
        <v>235</v>
      </c>
      <c r="AO100" s="47" t="s">
        <v>954</v>
      </c>
      <c r="AP100" s="47" t="s">
        <v>75</v>
      </c>
      <c r="AQ100" s="47" t="s">
        <v>83</v>
      </c>
      <c r="AR100" s="133" t="s">
        <v>1880</v>
      </c>
      <c r="AS100" s="133" t="s">
        <v>1881</v>
      </c>
      <c r="AT100" s="47" t="s">
        <v>1882</v>
      </c>
      <c r="AU100" s="47" t="s">
        <v>1883</v>
      </c>
      <c r="AV100" s="18" t="s">
        <v>83</v>
      </c>
      <c r="AW100" s="11" t="s">
        <v>84</v>
      </c>
      <c r="AX100" s="47" t="s">
        <v>498</v>
      </c>
      <c r="AY100" s="102" t="s">
        <v>86</v>
      </c>
      <c r="AZ100" s="136"/>
      <c r="BA100" s="137"/>
      <c r="BB100" s="137"/>
      <c r="BC100" s="137"/>
      <c r="BD100" s="137"/>
      <c r="BE100" s="137"/>
      <c r="BF100" s="137"/>
      <c r="BG100" s="137"/>
      <c r="BH100" s="137"/>
      <c r="BI100" s="137"/>
      <c r="BJ100" s="137"/>
      <c r="BK100" s="137"/>
      <c r="BL100" s="137"/>
    </row>
    <row r="101" ht="15.75" customHeight="1">
      <c r="A101" s="98" t="s">
        <v>1884</v>
      </c>
      <c r="B101" s="47" t="s">
        <v>1885</v>
      </c>
      <c r="C101" s="133" t="s">
        <v>1886</v>
      </c>
      <c r="D101" s="47">
        <v>2024.0</v>
      </c>
      <c r="E101" s="47" t="s">
        <v>1887</v>
      </c>
      <c r="F101" s="47" t="s">
        <v>1888</v>
      </c>
      <c r="G101" s="47" t="s">
        <v>1889</v>
      </c>
      <c r="H101" s="64" t="s">
        <v>480</v>
      </c>
      <c r="I101" s="64" t="s">
        <v>142</v>
      </c>
      <c r="J101" s="64" t="s">
        <v>481</v>
      </c>
      <c r="K101" s="64" t="s">
        <v>506</v>
      </c>
      <c r="L101" s="64" t="s">
        <v>63</v>
      </c>
      <c r="M101" s="64" t="s">
        <v>63</v>
      </c>
      <c r="N101" s="47" t="s">
        <v>954</v>
      </c>
      <c r="O101" s="47" t="s">
        <v>954</v>
      </c>
      <c r="P101" s="64" t="s">
        <v>64</v>
      </c>
      <c r="Q101" s="47" t="s">
        <v>1890</v>
      </c>
      <c r="R101" s="47" t="s">
        <v>954</v>
      </c>
      <c r="S101" s="64" t="s">
        <v>228</v>
      </c>
      <c r="T101" s="47" t="s">
        <v>1891</v>
      </c>
      <c r="U101" s="64" t="s">
        <v>69</v>
      </c>
      <c r="V101" s="47" t="s">
        <v>1892</v>
      </c>
      <c r="W101" s="47" t="s">
        <v>83</v>
      </c>
      <c r="X101" s="47" t="s">
        <v>75</v>
      </c>
      <c r="Y101" s="47" t="s">
        <v>75</v>
      </c>
      <c r="Z101" s="47" t="s">
        <v>75</v>
      </c>
      <c r="AA101" s="47" t="s">
        <v>1893</v>
      </c>
      <c r="AB101" s="47" t="s">
        <v>1893</v>
      </c>
      <c r="AC101" s="47" t="s">
        <v>954</v>
      </c>
      <c r="AD101" s="64" t="s">
        <v>75</v>
      </c>
      <c r="AE101" s="47" t="s">
        <v>1894</v>
      </c>
      <c r="AF101" s="47" t="s">
        <v>1086</v>
      </c>
      <c r="AG101" s="47" t="s">
        <v>1086</v>
      </c>
      <c r="AH101" s="47" t="s">
        <v>954</v>
      </c>
      <c r="AI101" s="47" t="s">
        <v>1086</v>
      </c>
      <c r="AJ101" s="47" t="s">
        <v>1086</v>
      </c>
      <c r="AK101" s="47" t="s">
        <v>1086</v>
      </c>
      <c r="AL101" s="47" t="s">
        <v>1086</v>
      </c>
      <c r="AM101" s="47" t="s">
        <v>1895</v>
      </c>
      <c r="AN101" s="64" t="s">
        <v>235</v>
      </c>
      <c r="AO101" s="47" t="s">
        <v>954</v>
      </c>
      <c r="AP101" s="47" t="s">
        <v>75</v>
      </c>
      <c r="AQ101" s="47" t="s">
        <v>83</v>
      </c>
      <c r="AR101" s="133" t="s">
        <v>1896</v>
      </c>
      <c r="AS101" s="133" t="s">
        <v>1897</v>
      </c>
      <c r="AT101" s="47" t="s">
        <v>1898</v>
      </c>
      <c r="AU101" s="47" t="s">
        <v>1899</v>
      </c>
      <c r="AV101" s="18" t="s">
        <v>83</v>
      </c>
      <c r="AW101" s="11" t="s">
        <v>84</v>
      </c>
      <c r="AX101" s="47" t="s">
        <v>498</v>
      </c>
      <c r="AY101" s="102" t="s">
        <v>86</v>
      </c>
      <c r="AZ101" s="139"/>
      <c r="BA101" s="137"/>
      <c r="BB101" s="137"/>
      <c r="BC101" s="137"/>
      <c r="BD101" s="137"/>
      <c r="BE101" s="137"/>
      <c r="BF101" s="137"/>
      <c r="BG101" s="137"/>
      <c r="BH101" s="137"/>
      <c r="BI101" s="137"/>
      <c r="BJ101" s="137"/>
      <c r="BK101" s="137"/>
      <c r="BL101" s="137"/>
    </row>
    <row r="102" ht="15.75" customHeight="1">
      <c r="A102" s="98" t="s">
        <v>1900</v>
      </c>
      <c r="B102" s="47" t="s">
        <v>1901</v>
      </c>
      <c r="C102" s="133" t="s">
        <v>1902</v>
      </c>
      <c r="D102" s="47">
        <v>2025.0</v>
      </c>
      <c r="E102" s="47" t="s">
        <v>502</v>
      </c>
      <c r="F102" s="47" t="s">
        <v>1903</v>
      </c>
      <c r="G102" s="47" t="s">
        <v>1904</v>
      </c>
      <c r="H102" s="64" t="s">
        <v>480</v>
      </c>
      <c r="I102" s="64" t="s">
        <v>142</v>
      </c>
      <c r="J102" s="64" t="s">
        <v>481</v>
      </c>
      <c r="K102" s="64" t="s">
        <v>506</v>
      </c>
      <c r="L102" s="64" t="s">
        <v>63</v>
      </c>
      <c r="M102" s="64" t="s">
        <v>63</v>
      </c>
      <c r="N102" s="47" t="s">
        <v>954</v>
      </c>
      <c r="O102" s="47" t="s">
        <v>954</v>
      </c>
      <c r="P102" s="64" t="s">
        <v>64</v>
      </c>
      <c r="Q102" s="47" t="s">
        <v>1905</v>
      </c>
      <c r="R102" s="47" t="s">
        <v>954</v>
      </c>
      <c r="S102" s="64" t="s">
        <v>228</v>
      </c>
      <c r="T102" s="47" t="s">
        <v>1906</v>
      </c>
      <c r="U102" s="64" t="s">
        <v>69</v>
      </c>
      <c r="V102" s="47" t="s">
        <v>1907</v>
      </c>
      <c r="W102" s="47" t="s">
        <v>83</v>
      </c>
      <c r="X102" s="47" t="s">
        <v>83</v>
      </c>
      <c r="Y102" s="47" t="s">
        <v>75</v>
      </c>
      <c r="Z102" s="47" t="s">
        <v>75</v>
      </c>
      <c r="AA102" s="47" t="s">
        <v>1908</v>
      </c>
      <c r="AB102" s="47" t="s">
        <v>1908</v>
      </c>
      <c r="AC102" s="47" t="s">
        <v>954</v>
      </c>
      <c r="AD102" s="64" t="s">
        <v>75</v>
      </c>
      <c r="AE102" s="47" t="s">
        <v>1909</v>
      </c>
      <c r="AF102" s="47" t="s">
        <v>1086</v>
      </c>
      <c r="AG102" s="47" t="s">
        <v>1086</v>
      </c>
      <c r="AH102" s="47" t="s">
        <v>954</v>
      </c>
      <c r="AI102" s="47" t="s">
        <v>1086</v>
      </c>
      <c r="AJ102" s="47" t="s">
        <v>1086</v>
      </c>
      <c r="AK102" s="47" t="s">
        <v>1086</v>
      </c>
      <c r="AL102" s="47" t="s">
        <v>1086</v>
      </c>
      <c r="AM102" s="47" t="s">
        <v>1910</v>
      </c>
      <c r="AN102" s="64" t="s">
        <v>235</v>
      </c>
      <c r="AO102" s="47" t="s">
        <v>954</v>
      </c>
      <c r="AP102" s="47" t="s">
        <v>75</v>
      </c>
      <c r="AQ102" s="47" t="s">
        <v>83</v>
      </c>
      <c r="AR102" s="133" t="s">
        <v>1911</v>
      </c>
      <c r="AS102" s="133" t="s">
        <v>1912</v>
      </c>
      <c r="AT102" s="47" t="s">
        <v>1913</v>
      </c>
      <c r="AU102" s="47" t="s">
        <v>1914</v>
      </c>
      <c r="AV102" s="18" t="s">
        <v>83</v>
      </c>
      <c r="AW102" s="11" t="s">
        <v>84</v>
      </c>
      <c r="AX102" s="47" t="s">
        <v>498</v>
      </c>
      <c r="AY102" s="102" t="s">
        <v>86</v>
      </c>
      <c r="AZ102" s="139"/>
      <c r="BA102" s="137"/>
      <c r="BB102" s="137"/>
      <c r="BC102" s="137"/>
      <c r="BD102" s="137"/>
      <c r="BE102" s="137"/>
      <c r="BF102" s="137"/>
      <c r="BG102" s="137"/>
      <c r="BH102" s="137"/>
      <c r="BI102" s="137"/>
      <c r="BJ102" s="137"/>
      <c r="BK102" s="137"/>
      <c r="BL102" s="137"/>
    </row>
    <row r="103" ht="15.75" customHeight="1">
      <c r="A103" s="98" t="s">
        <v>1915</v>
      </c>
      <c r="B103" s="47" t="s">
        <v>1916</v>
      </c>
      <c r="C103" s="133" t="s">
        <v>1917</v>
      </c>
      <c r="D103" s="47">
        <v>2021.0</v>
      </c>
      <c r="E103" s="47" t="s">
        <v>1918</v>
      </c>
      <c r="F103" s="47" t="s">
        <v>1919</v>
      </c>
      <c r="G103" s="47" t="s">
        <v>1920</v>
      </c>
      <c r="H103" s="64" t="s">
        <v>480</v>
      </c>
      <c r="I103" s="64" t="s">
        <v>142</v>
      </c>
      <c r="J103" s="64" t="s">
        <v>481</v>
      </c>
      <c r="K103" s="64" t="s">
        <v>506</v>
      </c>
      <c r="L103" s="64" t="s">
        <v>63</v>
      </c>
      <c r="M103" s="64" t="s">
        <v>63</v>
      </c>
      <c r="N103" s="47" t="s">
        <v>954</v>
      </c>
      <c r="O103" s="47" t="s">
        <v>954</v>
      </c>
      <c r="P103" s="64" t="s">
        <v>955</v>
      </c>
      <c r="Q103" s="47" t="s">
        <v>1921</v>
      </c>
      <c r="R103" s="47" t="s">
        <v>954</v>
      </c>
      <c r="S103" s="64" t="s">
        <v>228</v>
      </c>
      <c r="T103" s="47" t="s">
        <v>1922</v>
      </c>
      <c r="U103" s="64" t="s">
        <v>187</v>
      </c>
      <c r="V103" s="47" t="s">
        <v>1923</v>
      </c>
      <c r="W103" s="47" t="s">
        <v>83</v>
      </c>
      <c r="X103" s="47" t="s">
        <v>75</v>
      </c>
      <c r="Y103" s="47" t="s">
        <v>75</v>
      </c>
      <c r="Z103" s="47" t="s">
        <v>75</v>
      </c>
      <c r="AA103" s="47" t="s">
        <v>1923</v>
      </c>
      <c r="AB103" s="47" t="s">
        <v>1923</v>
      </c>
      <c r="AC103" s="47" t="s">
        <v>954</v>
      </c>
      <c r="AD103" s="64" t="s">
        <v>75</v>
      </c>
      <c r="AE103" s="47" t="s">
        <v>1924</v>
      </c>
      <c r="AF103" s="47" t="s">
        <v>1086</v>
      </c>
      <c r="AG103" s="47" t="s">
        <v>1086</v>
      </c>
      <c r="AH103" s="47" t="s">
        <v>954</v>
      </c>
      <c r="AI103" s="47" t="s">
        <v>1086</v>
      </c>
      <c r="AJ103" s="47" t="s">
        <v>1086</v>
      </c>
      <c r="AK103" s="47" t="s">
        <v>954</v>
      </c>
      <c r="AL103" s="47" t="s">
        <v>954</v>
      </c>
      <c r="AM103" s="47" t="s">
        <v>1925</v>
      </c>
      <c r="AN103" s="64" t="s">
        <v>235</v>
      </c>
      <c r="AO103" s="47" t="s">
        <v>954</v>
      </c>
      <c r="AP103" s="47" t="s">
        <v>75</v>
      </c>
      <c r="AQ103" s="47" t="s">
        <v>83</v>
      </c>
      <c r="AR103" s="133" t="s">
        <v>1926</v>
      </c>
      <c r="AS103" s="133" t="s">
        <v>1927</v>
      </c>
      <c r="AT103" s="47" t="s">
        <v>1928</v>
      </c>
      <c r="AU103" s="47" t="s">
        <v>1929</v>
      </c>
      <c r="AV103" s="18" t="s">
        <v>83</v>
      </c>
      <c r="AW103" s="11" t="s">
        <v>84</v>
      </c>
      <c r="AX103" s="47" t="s">
        <v>498</v>
      </c>
      <c r="AY103" s="102" t="s">
        <v>86</v>
      </c>
      <c r="AZ103" s="139"/>
      <c r="BA103" s="137"/>
      <c r="BB103" s="137"/>
      <c r="BC103" s="137"/>
      <c r="BD103" s="137"/>
      <c r="BE103" s="137"/>
      <c r="BF103" s="137"/>
      <c r="BG103" s="137"/>
      <c r="BH103" s="137"/>
      <c r="BI103" s="137"/>
      <c r="BJ103" s="137"/>
      <c r="BK103" s="137"/>
      <c r="BL103" s="137"/>
    </row>
    <row r="104" ht="15.75" customHeight="1">
      <c r="A104" s="98" t="s">
        <v>1930</v>
      </c>
      <c r="B104" s="47" t="s">
        <v>1931</v>
      </c>
      <c r="C104" s="107" t="s">
        <v>763</v>
      </c>
      <c r="D104" s="47">
        <v>2024.0</v>
      </c>
      <c r="E104" s="47" t="s">
        <v>1932</v>
      </c>
      <c r="F104" s="47" t="s">
        <v>765</v>
      </c>
      <c r="G104" s="47" t="s">
        <v>1933</v>
      </c>
      <c r="H104" s="64" t="s">
        <v>160</v>
      </c>
      <c r="I104" s="64" t="s">
        <v>505</v>
      </c>
      <c r="J104" s="64" t="s">
        <v>59</v>
      </c>
      <c r="K104" s="64" t="s">
        <v>60</v>
      </c>
      <c r="L104" s="64" t="s">
        <v>767</v>
      </c>
      <c r="M104" s="64" t="s">
        <v>768</v>
      </c>
      <c r="N104" s="47" t="s">
        <v>1934</v>
      </c>
      <c r="O104" s="47" t="s">
        <v>853</v>
      </c>
      <c r="P104" s="64" t="s">
        <v>64</v>
      </c>
      <c r="Q104" s="47" t="s">
        <v>1935</v>
      </c>
      <c r="R104" s="47" t="s">
        <v>1936</v>
      </c>
      <c r="S104" s="64" t="s">
        <v>228</v>
      </c>
      <c r="T104" s="47" t="s">
        <v>1937</v>
      </c>
      <c r="U104" s="64" t="s">
        <v>187</v>
      </c>
      <c r="V104" s="47" t="s">
        <v>1938</v>
      </c>
      <c r="W104" s="47" t="s">
        <v>1939</v>
      </c>
      <c r="X104" s="47" t="s">
        <v>75</v>
      </c>
      <c r="Y104" s="47" t="s">
        <v>1940</v>
      </c>
      <c r="Z104" s="47" t="s">
        <v>75</v>
      </c>
      <c r="AA104" s="47" t="s">
        <v>1941</v>
      </c>
      <c r="AB104" s="47" t="s">
        <v>1942</v>
      </c>
      <c r="AC104" s="47" t="s">
        <v>75</v>
      </c>
      <c r="AD104" s="64" t="s">
        <v>75</v>
      </c>
      <c r="AE104" s="47" t="s">
        <v>1943</v>
      </c>
      <c r="AF104" s="47" t="s">
        <v>1944</v>
      </c>
      <c r="AG104" s="47">
        <v>1414.0</v>
      </c>
      <c r="AH104" s="47" t="s">
        <v>580</v>
      </c>
      <c r="AI104" s="47" t="s">
        <v>580</v>
      </c>
      <c r="AJ104" s="47" t="s">
        <v>1149</v>
      </c>
      <c r="AK104" s="47">
        <v>304.1</v>
      </c>
      <c r="AL104" s="47">
        <v>124.8</v>
      </c>
      <c r="AM104" s="47" t="s">
        <v>1945</v>
      </c>
      <c r="AN104" s="64" t="s">
        <v>78</v>
      </c>
      <c r="AO104" s="47" t="s">
        <v>851</v>
      </c>
      <c r="AP104" s="47" t="s">
        <v>1946</v>
      </c>
      <c r="AQ104" s="47" t="s">
        <v>1947</v>
      </c>
      <c r="AR104" s="107" t="s">
        <v>1948</v>
      </c>
      <c r="AS104" s="133" t="s">
        <v>1949</v>
      </c>
      <c r="AT104" s="47" t="s">
        <v>1950</v>
      </c>
      <c r="AU104" s="47" t="s">
        <v>1951</v>
      </c>
      <c r="AV104" s="18" t="s">
        <v>83</v>
      </c>
      <c r="AW104" s="11" t="s">
        <v>84</v>
      </c>
      <c r="AX104" s="47" t="s">
        <v>85</v>
      </c>
      <c r="AY104" s="102" t="s">
        <v>86</v>
      </c>
      <c r="AZ104" s="139"/>
      <c r="BA104" s="137"/>
      <c r="BB104" s="137"/>
      <c r="BC104" s="137"/>
      <c r="BD104" s="137"/>
      <c r="BE104" s="137"/>
      <c r="BF104" s="137"/>
      <c r="BG104" s="137"/>
      <c r="BH104" s="137"/>
      <c r="BI104" s="137"/>
      <c r="BJ104" s="137"/>
      <c r="BK104" s="137"/>
      <c r="BL104" s="137"/>
    </row>
    <row r="105" ht="15.75" customHeight="1">
      <c r="A105" s="140" t="s">
        <v>1952</v>
      </c>
      <c r="B105" s="141" t="s">
        <v>1953</v>
      </c>
      <c r="C105" s="142" t="s">
        <v>1954</v>
      </c>
      <c r="D105" s="141">
        <v>2025.0</v>
      </c>
      <c r="E105" s="141" t="s">
        <v>1955</v>
      </c>
      <c r="F105" s="141" t="s">
        <v>1956</v>
      </c>
      <c r="G105" s="141" t="s">
        <v>1957</v>
      </c>
      <c r="H105" s="143" t="s">
        <v>57</v>
      </c>
      <c r="I105" s="143" t="s">
        <v>505</v>
      </c>
      <c r="J105" s="143" t="s">
        <v>59</v>
      </c>
      <c r="K105" s="143" t="s">
        <v>93</v>
      </c>
      <c r="L105" s="143" t="s">
        <v>61</v>
      </c>
      <c r="M105" s="143" t="s">
        <v>62</v>
      </c>
      <c r="N105" s="141" t="s">
        <v>1958</v>
      </c>
      <c r="O105" s="141" t="s">
        <v>1959</v>
      </c>
      <c r="P105" s="143" t="s">
        <v>64</v>
      </c>
      <c r="Q105" s="141" t="s">
        <v>1960</v>
      </c>
      <c r="R105" s="141" t="s">
        <v>1961</v>
      </c>
      <c r="S105" s="143" t="s">
        <v>228</v>
      </c>
      <c r="T105" s="141" t="s">
        <v>1168</v>
      </c>
      <c r="U105" s="143" t="s">
        <v>69</v>
      </c>
      <c r="V105" s="141" t="s">
        <v>1962</v>
      </c>
      <c r="W105" s="141" t="s">
        <v>1963</v>
      </c>
      <c r="X105" s="141" t="s">
        <v>83</v>
      </c>
      <c r="Y105" s="141" t="s">
        <v>75</v>
      </c>
      <c r="Z105" s="141" t="s">
        <v>75</v>
      </c>
      <c r="AA105" s="141" t="s">
        <v>1964</v>
      </c>
      <c r="AB105" s="141" t="s">
        <v>1965</v>
      </c>
      <c r="AC105" s="141" t="s">
        <v>75</v>
      </c>
      <c r="AD105" s="143" t="s">
        <v>75</v>
      </c>
      <c r="AE105" s="141" t="s">
        <v>76</v>
      </c>
      <c r="AF105" s="141" t="s">
        <v>1966</v>
      </c>
      <c r="AG105" s="141" t="s">
        <v>1967</v>
      </c>
      <c r="AH105" s="141" t="s">
        <v>580</v>
      </c>
      <c r="AI105" s="141" t="s">
        <v>1968</v>
      </c>
      <c r="AJ105" s="141" t="s">
        <v>1969</v>
      </c>
      <c r="AK105" s="141" t="s">
        <v>1970</v>
      </c>
      <c r="AL105" s="141" t="s">
        <v>1971</v>
      </c>
      <c r="AM105" s="141" t="s">
        <v>1972</v>
      </c>
      <c r="AN105" s="143" t="s">
        <v>78</v>
      </c>
      <c r="AO105" s="141" t="s">
        <v>851</v>
      </c>
      <c r="AP105" s="141" t="s">
        <v>1973</v>
      </c>
      <c r="AQ105" s="141" t="s">
        <v>485</v>
      </c>
      <c r="AR105" s="142" t="s">
        <v>853</v>
      </c>
      <c r="AS105" s="144" t="s">
        <v>1974</v>
      </c>
      <c r="AT105" s="141" t="s">
        <v>1975</v>
      </c>
      <c r="AU105" s="141" t="s">
        <v>1976</v>
      </c>
      <c r="AV105" s="145" t="s">
        <v>83</v>
      </c>
      <c r="AW105" s="146" t="s">
        <v>84</v>
      </c>
      <c r="AX105" s="141" t="s">
        <v>85</v>
      </c>
      <c r="AY105" s="147" t="s">
        <v>86</v>
      </c>
      <c r="AZ105" s="139"/>
      <c r="BA105" s="137"/>
      <c r="BB105" s="137"/>
      <c r="BC105" s="137"/>
      <c r="BD105" s="137"/>
      <c r="BE105" s="137"/>
      <c r="BF105" s="137"/>
      <c r="BG105" s="137"/>
      <c r="BH105" s="137"/>
      <c r="BI105" s="137"/>
      <c r="BJ105" s="137"/>
      <c r="BK105" s="137"/>
      <c r="BL105" s="137"/>
    </row>
    <row r="106" ht="15.75" customHeight="1">
      <c r="A106" s="148" t="s">
        <v>1977</v>
      </c>
      <c r="B106" s="149" t="s">
        <v>1978</v>
      </c>
      <c r="C106" s="149" t="s">
        <v>1979</v>
      </c>
      <c r="D106" s="150">
        <v>2022.0</v>
      </c>
      <c r="E106" s="149" t="s">
        <v>1980</v>
      </c>
      <c r="F106" s="149" t="s">
        <v>1981</v>
      </c>
      <c r="G106" s="149" t="s">
        <v>92</v>
      </c>
      <c r="H106" s="149"/>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c r="AE106" s="151"/>
      <c r="AF106" s="151"/>
      <c r="AG106" s="151"/>
      <c r="AH106" s="151"/>
      <c r="AI106" s="151"/>
      <c r="AJ106" s="151"/>
      <c r="AK106" s="151"/>
      <c r="AL106" s="151"/>
      <c r="AM106" s="151"/>
      <c r="AN106" s="151"/>
      <c r="AO106" s="151"/>
      <c r="AP106" s="151"/>
      <c r="AQ106" s="151"/>
      <c r="AR106" s="151"/>
      <c r="AS106" s="152" t="s">
        <v>1982</v>
      </c>
      <c r="AT106" s="153" t="s">
        <v>1983</v>
      </c>
      <c r="AU106" s="151" t="s">
        <v>1984</v>
      </c>
      <c r="AV106" s="151" t="s">
        <v>75</v>
      </c>
      <c r="AW106" s="153" t="s">
        <v>1985</v>
      </c>
      <c r="AX106" s="154"/>
      <c r="AY106" s="155"/>
      <c r="AZ106" s="52"/>
    </row>
    <row r="107" ht="15.75" customHeight="1">
      <c r="A107" s="156" t="s">
        <v>1986</v>
      </c>
      <c r="B107" s="15" t="s">
        <v>1987</v>
      </c>
      <c r="C107" s="15" t="s">
        <v>1988</v>
      </c>
      <c r="D107" s="157">
        <v>2022.0</v>
      </c>
      <c r="E107" s="15" t="s">
        <v>1989</v>
      </c>
      <c r="F107" s="15" t="s">
        <v>1990</v>
      </c>
      <c r="G107" s="15" t="s">
        <v>1991</v>
      </c>
      <c r="H107" s="15"/>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1" t="s">
        <v>1992</v>
      </c>
      <c r="AT107" s="14" t="s">
        <v>1993</v>
      </c>
      <c r="AU107" s="26" t="s">
        <v>1994</v>
      </c>
      <c r="AV107" s="50" t="s">
        <v>75</v>
      </c>
      <c r="AW107" s="14" t="s">
        <v>1995</v>
      </c>
      <c r="AX107" s="154"/>
      <c r="AY107" s="155"/>
      <c r="AZ107" s="52"/>
    </row>
    <row r="108" ht="15.75" customHeight="1">
      <c r="A108" s="156" t="s">
        <v>1996</v>
      </c>
      <c r="B108" s="15" t="s">
        <v>1997</v>
      </c>
      <c r="C108" s="15" t="s">
        <v>63</v>
      </c>
      <c r="D108" s="157">
        <v>2024.0</v>
      </c>
      <c r="E108" s="15" t="s">
        <v>1998</v>
      </c>
      <c r="F108" s="15" t="s">
        <v>1999</v>
      </c>
      <c r="G108" s="15" t="s">
        <v>2000</v>
      </c>
      <c r="H108" s="15"/>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1" t="s">
        <v>2001</v>
      </c>
      <c r="AT108" s="14" t="s">
        <v>2002</v>
      </c>
      <c r="AU108" s="26" t="s">
        <v>2003</v>
      </c>
      <c r="AV108" s="50" t="s">
        <v>75</v>
      </c>
      <c r="AW108" s="14" t="s">
        <v>1995</v>
      </c>
      <c r="AX108" s="154"/>
      <c r="AY108" s="155"/>
      <c r="AZ108" s="52"/>
    </row>
    <row r="109" ht="15.75" customHeight="1">
      <c r="A109" s="158" t="s">
        <v>2004</v>
      </c>
      <c r="B109" s="28" t="s">
        <v>2005</v>
      </c>
      <c r="C109" s="51" t="s">
        <v>2006</v>
      </c>
      <c r="D109" s="49">
        <v>2025.0</v>
      </c>
      <c r="E109" s="14" t="s">
        <v>2007</v>
      </c>
      <c r="F109" s="28" t="s">
        <v>2008</v>
      </c>
      <c r="G109" s="28" t="s">
        <v>2009</v>
      </c>
      <c r="H109" s="14"/>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1" t="s">
        <v>2010</v>
      </c>
      <c r="AT109" s="14" t="s">
        <v>2011</v>
      </c>
      <c r="AU109" s="50" t="s">
        <v>2012</v>
      </c>
      <c r="AV109" s="50" t="s">
        <v>75</v>
      </c>
      <c r="AW109" s="14" t="s">
        <v>1995</v>
      </c>
      <c r="AX109" s="154"/>
      <c r="AY109" s="155"/>
      <c r="AZ109" s="52"/>
    </row>
    <row r="110" ht="15.75" customHeight="1">
      <c r="A110" s="158" t="s">
        <v>2013</v>
      </c>
      <c r="B110" s="28" t="s">
        <v>2014</v>
      </c>
      <c r="C110" s="51" t="s">
        <v>2015</v>
      </c>
      <c r="D110" s="49">
        <v>2026.0</v>
      </c>
      <c r="E110" s="159" t="s">
        <v>2016</v>
      </c>
      <c r="F110" s="28" t="s">
        <v>2017</v>
      </c>
      <c r="G110" s="160" t="s">
        <v>2018</v>
      </c>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161"/>
      <c r="AR110" s="161"/>
      <c r="AS110" s="51" t="s">
        <v>2019</v>
      </c>
      <c r="AT110" s="14" t="s">
        <v>2020</v>
      </c>
      <c r="AU110" s="50" t="s">
        <v>2021</v>
      </c>
      <c r="AV110" s="50" t="s">
        <v>75</v>
      </c>
      <c r="AW110" s="14" t="s">
        <v>2022</v>
      </c>
      <c r="AX110" s="154"/>
      <c r="AY110" s="155"/>
      <c r="AZ110" s="52"/>
    </row>
    <row r="111" ht="15.75" customHeight="1">
      <c r="A111" s="158" t="s">
        <v>2023</v>
      </c>
      <c r="B111" s="28" t="s">
        <v>2024</v>
      </c>
      <c r="C111" s="51" t="s">
        <v>2025</v>
      </c>
      <c r="D111" s="49">
        <v>2025.0</v>
      </c>
      <c r="E111" s="14" t="s">
        <v>2026</v>
      </c>
      <c r="F111" s="28" t="s">
        <v>2027</v>
      </c>
      <c r="G111" s="14" t="s">
        <v>2028</v>
      </c>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162"/>
      <c r="AF111" s="50"/>
      <c r="AG111" s="50"/>
      <c r="AH111" s="50"/>
      <c r="AI111" s="50"/>
      <c r="AJ111" s="50"/>
      <c r="AK111" s="50"/>
      <c r="AL111" s="50"/>
      <c r="AM111" s="50"/>
      <c r="AN111" s="50"/>
      <c r="AO111" s="50"/>
      <c r="AP111" s="50"/>
      <c r="AQ111" s="50"/>
      <c r="AR111" s="50"/>
      <c r="AS111" s="51" t="s">
        <v>2025</v>
      </c>
      <c r="AT111" s="14" t="s">
        <v>2029</v>
      </c>
      <c r="AU111" s="50" t="s">
        <v>2030</v>
      </c>
      <c r="AV111" s="50" t="s">
        <v>75</v>
      </c>
      <c r="AW111" s="14" t="s">
        <v>1995</v>
      </c>
      <c r="AX111" s="154"/>
      <c r="AY111" s="155"/>
      <c r="AZ111" s="52"/>
    </row>
    <row r="112" ht="15.75" customHeight="1">
      <c r="A112" s="163" t="s">
        <v>2031</v>
      </c>
      <c r="B112" s="164" t="s">
        <v>2032</v>
      </c>
      <c r="C112" s="164" t="s">
        <v>2033</v>
      </c>
      <c r="D112" s="164">
        <v>2023.0</v>
      </c>
      <c r="E112" s="26" t="s">
        <v>1775</v>
      </c>
      <c r="F112" s="164" t="s">
        <v>644</v>
      </c>
      <c r="G112" s="164" t="s">
        <v>2034</v>
      </c>
      <c r="H112" s="26"/>
      <c r="I112" s="26"/>
      <c r="J112" s="26"/>
      <c r="K112" s="26"/>
      <c r="L112" s="26"/>
      <c r="M112" s="26"/>
      <c r="N112" s="18"/>
      <c r="O112" s="18"/>
      <c r="P112" s="26"/>
      <c r="Q112" s="26"/>
      <c r="R112" s="26"/>
      <c r="S112" s="26"/>
      <c r="T112" s="26"/>
      <c r="U112" s="26"/>
      <c r="V112" s="26"/>
      <c r="W112" s="26"/>
      <c r="X112" s="26"/>
      <c r="Y112" s="26"/>
      <c r="Z112" s="26"/>
      <c r="AA112" s="26"/>
      <c r="AB112" s="26"/>
      <c r="AC112" s="26"/>
      <c r="AD112" s="26"/>
      <c r="AE112" s="26"/>
      <c r="AF112" s="57"/>
      <c r="AG112" s="26"/>
      <c r="AH112" s="26"/>
      <c r="AI112" s="26"/>
      <c r="AJ112" s="26"/>
      <c r="AK112" s="26"/>
      <c r="AL112" s="26"/>
      <c r="AM112" s="26"/>
      <c r="AN112" s="26"/>
      <c r="AO112" s="26"/>
      <c r="AP112" s="26"/>
      <c r="AQ112" s="26"/>
      <c r="AR112" s="26"/>
      <c r="AS112" s="165" t="s">
        <v>2035</v>
      </c>
      <c r="AT112" s="26" t="s">
        <v>2036</v>
      </c>
      <c r="AU112" s="26" t="s">
        <v>2037</v>
      </c>
      <c r="AV112" s="50" t="s">
        <v>75</v>
      </c>
      <c r="AW112" s="26" t="s">
        <v>1985</v>
      </c>
      <c r="AX112" s="154"/>
      <c r="AY112" s="155"/>
      <c r="AZ112" s="52"/>
    </row>
    <row r="113" ht="15.75" customHeight="1">
      <c r="A113" s="166" t="s">
        <v>2038</v>
      </c>
      <c r="B113" s="167" t="s">
        <v>2039</v>
      </c>
      <c r="C113" s="167" t="s">
        <v>2040</v>
      </c>
      <c r="D113" s="167">
        <v>2024.0</v>
      </c>
      <c r="E113" s="167" t="s">
        <v>2040</v>
      </c>
      <c r="F113" s="167" t="s">
        <v>2041</v>
      </c>
      <c r="G113" s="167" t="s">
        <v>2042</v>
      </c>
      <c r="H113" s="167"/>
      <c r="I113" s="167"/>
      <c r="J113" s="167"/>
      <c r="K113" s="167"/>
      <c r="L113" s="167"/>
      <c r="M113" s="167"/>
      <c r="N113" s="167"/>
      <c r="O113" s="167"/>
      <c r="P113" s="167"/>
      <c r="Q113" s="167"/>
      <c r="R113" s="167"/>
      <c r="S113" s="167"/>
      <c r="T113" s="167"/>
      <c r="U113" s="167"/>
      <c r="V113" s="167"/>
      <c r="W113" s="167"/>
      <c r="X113" s="167"/>
      <c r="Y113" s="167"/>
      <c r="Z113" s="167"/>
      <c r="AA113" s="167"/>
      <c r="AB113" s="167"/>
      <c r="AC113" s="167"/>
      <c r="AD113" s="167"/>
      <c r="AE113" s="167"/>
      <c r="AF113" s="167"/>
      <c r="AG113" s="167"/>
      <c r="AH113" s="167"/>
      <c r="AI113" s="167"/>
      <c r="AJ113" s="167"/>
      <c r="AK113" s="167"/>
      <c r="AL113" s="167"/>
      <c r="AM113" s="167"/>
      <c r="AN113" s="167"/>
      <c r="AO113" s="167"/>
      <c r="AP113" s="167"/>
      <c r="AQ113" s="167"/>
      <c r="AR113" s="167"/>
      <c r="AS113" s="168" t="s">
        <v>2043</v>
      </c>
      <c r="AT113" s="26" t="s">
        <v>2044</v>
      </c>
      <c r="AU113" s="26" t="s">
        <v>2045</v>
      </c>
      <c r="AV113" s="50" t="s">
        <v>75</v>
      </c>
      <c r="AW113" s="26" t="s">
        <v>2022</v>
      </c>
      <c r="AX113" s="154"/>
      <c r="AY113" s="155"/>
      <c r="AZ113" s="169"/>
    </row>
    <row r="114" ht="15.75" customHeight="1">
      <c r="A114" s="166" t="s">
        <v>2046</v>
      </c>
      <c r="B114" s="167" t="s">
        <v>2047</v>
      </c>
      <c r="C114" s="167" t="s">
        <v>2048</v>
      </c>
      <c r="D114" s="167">
        <v>2025.0</v>
      </c>
      <c r="E114" s="167" t="s">
        <v>2048</v>
      </c>
      <c r="F114" s="167" t="s">
        <v>2049</v>
      </c>
      <c r="G114" s="167" t="s">
        <v>2050</v>
      </c>
      <c r="H114" s="167"/>
      <c r="I114" s="167"/>
      <c r="J114" s="167"/>
      <c r="K114" s="167"/>
      <c r="L114" s="167"/>
      <c r="M114" s="167"/>
      <c r="N114" s="167"/>
      <c r="O114" s="167"/>
      <c r="P114" s="167"/>
      <c r="Q114" s="167"/>
      <c r="R114" s="167"/>
      <c r="S114" s="167"/>
      <c r="T114" s="167"/>
      <c r="U114" s="167"/>
      <c r="V114" s="167"/>
      <c r="W114" s="167"/>
      <c r="X114" s="167"/>
      <c r="Y114" s="167"/>
      <c r="Z114" s="167"/>
      <c r="AA114" s="167"/>
      <c r="AB114" s="167"/>
      <c r="AC114" s="167"/>
      <c r="AD114" s="167"/>
      <c r="AE114" s="167"/>
      <c r="AF114" s="167"/>
      <c r="AG114" s="167"/>
      <c r="AH114" s="167"/>
      <c r="AI114" s="167"/>
      <c r="AJ114" s="167"/>
      <c r="AK114" s="167"/>
      <c r="AL114" s="167"/>
      <c r="AM114" s="167"/>
      <c r="AN114" s="167"/>
      <c r="AO114" s="167"/>
      <c r="AP114" s="167"/>
      <c r="AQ114" s="167"/>
      <c r="AR114" s="167"/>
      <c r="AS114" s="168" t="s">
        <v>2051</v>
      </c>
      <c r="AT114" s="26" t="s">
        <v>2052</v>
      </c>
      <c r="AU114" s="26" t="s">
        <v>2053</v>
      </c>
      <c r="AV114" s="50" t="s">
        <v>75</v>
      </c>
      <c r="AW114" s="26" t="s">
        <v>2054</v>
      </c>
      <c r="AX114" s="154"/>
      <c r="AY114" s="155"/>
      <c r="AZ114" s="169"/>
    </row>
    <row r="115" ht="15.75" customHeight="1">
      <c r="A115" s="166" t="s">
        <v>2055</v>
      </c>
      <c r="B115" s="167" t="s">
        <v>2056</v>
      </c>
      <c r="C115" s="167" t="s">
        <v>454</v>
      </c>
      <c r="D115" s="167">
        <v>2023.0</v>
      </c>
      <c r="E115" s="167" t="s">
        <v>454</v>
      </c>
      <c r="F115" s="167" t="s">
        <v>2057</v>
      </c>
      <c r="G115" s="167" t="s">
        <v>2058</v>
      </c>
      <c r="H115" s="167"/>
      <c r="I115" s="167"/>
      <c r="J115" s="167"/>
      <c r="K115" s="167"/>
      <c r="L115" s="167"/>
      <c r="M115" s="167"/>
      <c r="N115" s="167"/>
      <c r="O115" s="167"/>
      <c r="P115" s="167"/>
      <c r="Q115" s="167"/>
      <c r="R115" s="167"/>
      <c r="S115" s="167"/>
      <c r="T115" s="167"/>
      <c r="U115" s="167"/>
      <c r="V115" s="167"/>
      <c r="W115" s="167"/>
      <c r="X115" s="167"/>
      <c r="Y115" s="167"/>
      <c r="Z115" s="167"/>
      <c r="AA115" s="167"/>
      <c r="AB115" s="167"/>
      <c r="AC115" s="167"/>
      <c r="AD115" s="167"/>
      <c r="AE115" s="167"/>
      <c r="AF115" s="167"/>
      <c r="AG115" s="167"/>
      <c r="AH115" s="167"/>
      <c r="AI115" s="167"/>
      <c r="AJ115" s="167"/>
      <c r="AK115" s="167"/>
      <c r="AL115" s="167"/>
      <c r="AM115" s="167"/>
      <c r="AN115" s="167"/>
      <c r="AO115" s="167"/>
      <c r="AP115" s="167"/>
      <c r="AQ115" s="167"/>
      <c r="AR115" s="167"/>
      <c r="AS115" s="168" t="s">
        <v>2059</v>
      </c>
      <c r="AT115" s="26" t="s">
        <v>2060</v>
      </c>
      <c r="AU115" s="26" t="s">
        <v>2061</v>
      </c>
      <c r="AV115" s="50" t="s">
        <v>75</v>
      </c>
      <c r="AW115" s="26" t="s">
        <v>1995</v>
      </c>
      <c r="AX115" s="154"/>
      <c r="AY115" s="155"/>
      <c r="AZ115" s="52"/>
    </row>
    <row r="116" ht="15.75" customHeight="1">
      <c r="A116" s="166" t="s">
        <v>2062</v>
      </c>
      <c r="B116" s="167" t="s">
        <v>2063</v>
      </c>
      <c r="C116" s="167" t="s">
        <v>2064</v>
      </c>
      <c r="D116" s="167">
        <v>2025.0</v>
      </c>
      <c r="E116" s="167" t="s">
        <v>2064</v>
      </c>
      <c r="F116" s="167" t="s">
        <v>2065</v>
      </c>
      <c r="G116" s="167" t="s">
        <v>2066</v>
      </c>
      <c r="H116" s="167"/>
      <c r="I116" s="167"/>
      <c r="J116" s="167"/>
      <c r="K116" s="167"/>
      <c r="L116" s="167"/>
      <c r="M116" s="167"/>
      <c r="N116" s="167"/>
      <c r="O116" s="167"/>
      <c r="P116" s="167"/>
      <c r="Q116" s="167"/>
      <c r="R116" s="167"/>
      <c r="S116" s="167"/>
      <c r="T116" s="167"/>
      <c r="U116" s="167"/>
      <c r="V116" s="167"/>
      <c r="W116" s="167"/>
      <c r="X116" s="167"/>
      <c r="Y116" s="167"/>
      <c r="Z116" s="167"/>
      <c r="AA116" s="167"/>
      <c r="AB116" s="167"/>
      <c r="AC116" s="167"/>
      <c r="AD116" s="167"/>
      <c r="AE116" s="167"/>
      <c r="AF116" s="167"/>
      <c r="AG116" s="167"/>
      <c r="AH116" s="167"/>
      <c r="AI116" s="167"/>
      <c r="AJ116" s="167"/>
      <c r="AK116" s="167"/>
      <c r="AL116" s="167"/>
      <c r="AM116" s="167"/>
      <c r="AN116" s="167"/>
      <c r="AO116" s="167"/>
      <c r="AP116" s="167"/>
      <c r="AQ116" s="167"/>
      <c r="AR116" s="167"/>
      <c r="AS116" s="168" t="s">
        <v>2067</v>
      </c>
      <c r="AT116" s="26" t="s">
        <v>2068</v>
      </c>
      <c r="AU116" s="26" t="s">
        <v>2069</v>
      </c>
      <c r="AV116" s="50" t="s">
        <v>75</v>
      </c>
      <c r="AW116" s="26" t="s">
        <v>1995</v>
      </c>
      <c r="AX116" s="154"/>
      <c r="AY116" s="155"/>
      <c r="AZ116" s="52"/>
    </row>
    <row r="117" ht="15.75" customHeight="1">
      <c r="A117" s="166" t="s">
        <v>2070</v>
      </c>
      <c r="B117" s="167" t="s">
        <v>2071</v>
      </c>
      <c r="C117" s="167" t="s">
        <v>2072</v>
      </c>
      <c r="D117" s="167">
        <v>2024.0</v>
      </c>
      <c r="E117" s="167" t="s">
        <v>2072</v>
      </c>
      <c r="F117" s="167" t="s">
        <v>2073</v>
      </c>
      <c r="G117" s="167" t="s">
        <v>2074</v>
      </c>
      <c r="H117" s="167"/>
      <c r="I117" s="167"/>
      <c r="J117" s="167"/>
      <c r="K117" s="167"/>
      <c r="L117" s="167"/>
      <c r="M117" s="167"/>
      <c r="N117" s="167"/>
      <c r="O117" s="167"/>
      <c r="P117" s="167"/>
      <c r="Q117" s="167"/>
      <c r="R117" s="167"/>
      <c r="S117" s="167"/>
      <c r="T117" s="167"/>
      <c r="U117" s="167"/>
      <c r="V117" s="167"/>
      <c r="W117" s="167"/>
      <c r="X117" s="167"/>
      <c r="Y117" s="167"/>
      <c r="Z117" s="167"/>
      <c r="AA117" s="167"/>
      <c r="AB117" s="167"/>
      <c r="AC117" s="167"/>
      <c r="AD117" s="167"/>
      <c r="AE117" s="167"/>
      <c r="AF117" s="167"/>
      <c r="AG117" s="167"/>
      <c r="AH117" s="167"/>
      <c r="AI117" s="167"/>
      <c r="AJ117" s="167"/>
      <c r="AK117" s="167"/>
      <c r="AL117" s="167"/>
      <c r="AM117" s="167"/>
      <c r="AN117" s="167"/>
      <c r="AO117" s="167"/>
      <c r="AP117" s="167"/>
      <c r="AQ117" s="167"/>
      <c r="AR117" s="167"/>
      <c r="AS117" s="168" t="s">
        <v>2075</v>
      </c>
      <c r="AT117" s="26" t="s">
        <v>2076</v>
      </c>
      <c r="AU117" s="26" t="s">
        <v>2077</v>
      </c>
      <c r="AV117" s="50" t="s">
        <v>75</v>
      </c>
      <c r="AW117" s="26" t="s">
        <v>2022</v>
      </c>
      <c r="AX117" s="154"/>
      <c r="AY117" s="155"/>
      <c r="AZ117" s="52"/>
    </row>
    <row r="118" ht="15.75" customHeight="1">
      <c r="A118" s="170" t="s">
        <v>2078</v>
      </c>
      <c r="B118" s="171" t="s">
        <v>2079</v>
      </c>
      <c r="C118" s="171" t="s">
        <v>1060</v>
      </c>
      <c r="D118" s="172">
        <v>2024.0</v>
      </c>
      <c r="E118" s="171" t="s">
        <v>1060</v>
      </c>
      <c r="F118" s="171" t="s">
        <v>2080</v>
      </c>
      <c r="G118" s="171" t="s">
        <v>2081</v>
      </c>
      <c r="H118" s="171"/>
      <c r="I118" s="171"/>
      <c r="J118" s="171"/>
      <c r="K118" s="171"/>
      <c r="L118" s="171"/>
      <c r="M118" s="171"/>
      <c r="N118" s="171"/>
      <c r="O118" s="171"/>
      <c r="P118" s="171"/>
      <c r="Q118" s="171"/>
      <c r="R118" s="171"/>
      <c r="S118" s="171"/>
      <c r="T118" s="171"/>
      <c r="U118" s="171"/>
      <c r="V118" s="171"/>
      <c r="W118" s="171"/>
      <c r="X118" s="171"/>
      <c r="Y118" s="171"/>
      <c r="Z118" s="171"/>
      <c r="AA118" s="171"/>
      <c r="AB118" s="171"/>
      <c r="AC118" s="171"/>
      <c r="AD118" s="171"/>
      <c r="AE118" s="171"/>
      <c r="AF118" s="171"/>
      <c r="AG118" s="171"/>
      <c r="AH118" s="171"/>
      <c r="AI118" s="171"/>
      <c r="AJ118" s="171"/>
      <c r="AK118" s="171"/>
      <c r="AL118" s="171"/>
      <c r="AM118" s="171"/>
      <c r="AN118" s="171"/>
      <c r="AO118" s="171"/>
      <c r="AP118" s="171"/>
      <c r="AQ118" s="171"/>
      <c r="AR118" s="171"/>
      <c r="AS118" s="173" t="s">
        <v>2082</v>
      </c>
      <c r="AT118" s="26" t="s">
        <v>2083</v>
      </c>
      <c r="AU118" s="26" t="s">
        <v>1994</v>
      </c>
      <c r="AV118" s="50" t="s">
        <v>75</v>
      </c>
      <c r="AW118" s="26" t="s">
        <v>1995</v>
      </c>
      <c r="AX118" s="174"/>
      <c r="AY118" s="175"/>
      <c r="AZ118" s="76"/>
      <c r="BA118" s="77"/>
      <c r="BB118" s="77"/>
      <c r="BC118" s="77"/>
      <c r="BD118" s="77"/>
      <c r="BE118" s="77"/>
      <c r="BF118" s="77"/>
      <c r="BG118" s="77"/>
      <c r="BH118" s="77"/>
      <c r="BI118" s="77"/>
      <c r="BJ118" s="77"/>
      <c r="BK118" s="77"/>
      <c r="BL118" s="77"/>
    </row>
    <row r="119" ht="15.75" customHeight="1">
      <c r="A119" s="170" t="s">
        <v>2084</v>
      </c>
      <c r="B119" s="171" t="s">
        <v>2085</v>
      </c>
      <c r="C119" s="171" t="s">
        <v>2086</v>
      </c>
      <c r="D119" s="172">
        <v>2022.0</v>
      </c>
      <c r="E119" s="171" t="s">
        <v>2086</v>
      </c>
      <c r="F119" s="171" t="s">
        <v>2087</v>
      </c>
      <c r="G119" s="171" t="s">
        <v>2088</v>
      </c>
      <c r="H119" s="171"/>
      <c r="I119" s="171"/>
      <c r="J119" s="171"/>
      <c r="K119" s="171"/>
      <c r="L119" s="171"/>
      <c r="M119" s="171"/>
      <c r="N119" s="171"/>
      <c r="O119" s="171"/>
      <c r="P119" s="171"/>
      <c r="Q119" s="171"/>
      <c r="R119" s="171"/>
      <c r="S119" s="171"/>
      <c r="T119" s="171"/>
      <c r="U119" s="171"/>
      <c r="V119" s="171"/>
      <c r="W119" s="171"/>
      <c r="X119" s="171"/>
      <c r="Y119" s="171"/>
      <c r="Z119" s="171"/>
      <c r="AA119" s="171"/>
      <c r="AB119" s="171"/>
      <c r="AC119" s="171"/>
      <c r="AD119" s="171"/>
      <c r="AE119" s="171"/>
      <c r="AF119" s="171"/>
      <c r="AG119" s="171"/>
      <c r="AH119" s="171"/>
      <c r="AI119" s="171"/>
      <c r="AJ119" s="171"/>
      <c r="AK119" s="171"/>
      <c r="AL119" s="171"/>
      <c r="AM119" s="171"/>
      <c r="AN119" s="171"/>
      <c r="AO119" s="171"/>
      <c r="AP119" s="171"/>
      <c r="AQ119" s="171"/>
      <c r="AR119" s="171"/>
      <c r="AS119" s="173" t="s">
        <v>2089</v>
      </c>
      <c r="AT119" s="26" t="s">
        <v>2090</v>
      </c>
      <c r="AU119" s="26" t="s">
        <v>2091</v>
      </c>
      <c r="AV119" s="50" t="s">
        <v>75</v>
      </c>
      <c r="AW119" s="26" t="s">
        <v>2092</v>
      </c>
      <c r="AX119" s="174"/>
      <c r="AY119" s="175"/>
      <c r="AZ119" s="76"/>
      <c r="BA119" s="77"/>
      <c r="BB119" s="77"/>
      <c r="BC119" s="77"/>
      <c r="BD119" s="77"/>
      <c r="BE119" s="77"/>
      <c r="BF119" s="77"/>
      <c r="BG119" s="77"/>
      <c r="BH119" s="77"/>
      <c r="BI119" s="77"/>
      <c r="BJ119" s="77"/>
      <c r="BK119" s="77"/>
      <c r="BL119" s="77"/>
    </row>
    <row r="120" ht="15.75" customHeight="1">
      <c r="A120" s="166" t="s">
        <v>2093</v>
      </c>
      <c r="B120" s="167" t="s">
        <v>2094</v>
      </c>
      <c r="C120" s="167" t="s">
        <v>569</v>
      </c>
      <c r="D120" s="167">
        <v>2025.0</v>
      </c>
      <c r="E120" s="167" t="s">
        <v>569</v>
      </c>
      <c r="F120" s="167" t="s">
        <v>2095</v>
      </c>
      <c r="G120" s="167" t="s">
        <v>2096</v>
      </c>
      <c r="H120" s="167"/>
      <c r="I120" s="167"/>
      <c r="J120" s="167"/>
      <c r="K120" s="167"/>
      <c r="L120" s="167"/>
      <c r="M120" s="167"/>
      <c r="N120" s="167"/>
      <c r="O120" s="167"/>
      <c r="P120" s="167"/>
      <c r="Q120" s="167"/>
      <c r="R120" s="167"/>
      <c r="S120" s="167"/>
      <c r="T120" s="167"/>
      <c r="U120" s="167"/>
      <c r="V120" s="167"/>
      <c r="W120" s="167"/>
      <c r="X120" s="167"/>
      <c r="Y120" s="167"/>
      <c r="Z120" s="167"/>
      <c r="AA120" s="167"/>
      <c r="AB120" s="167"/>
      <c r="AC120" s="167"/>
      <c r="AD120" s="167"/>
      <c r="AE120" s="167"/>
      <c r="AF120" s="167"/>
      <c r="AG120" s="167"/>
      <c r="AH120" s="167"/>
      <c r="AI120" s="167"/>
      <c r="AJ120" s="167"/>
      <c r="AK120" s="167"/>
      <c r="AL120" s="167"/>
      <c r="AM120" s="167"/>
      <c r="AN120" s="167"/>
      <c r="AO120" s="167"/>
      <c r="AP120" s="167"/>
      <c r="AQ120" s="167"/>
      <c r="AR120" s="167"/>
      <c r="AS120" s="168" t="s">
        <v>2097</v>
      </c>
      <c r="AT120" s="26" t="s">
        <v>2098</v>
      </c>
      <c r="AU120" s="26" t="s">
        <v>1994</v>
      </c>
      <c r="AV120" s="50" t="s">
        <v>75</v>
      </c>
      <c r="AW120" s="26" t="s">
        <v>1995</v>
      </c>
      <c r="AX120" s="154"/>
      <c r="AY120" s="155"/>
      <c r="AZ120" s="52"/>
    </row>
    <row r="121" ht="15.75" customHeight="1">
      <c r="A121" s="166" t="s">
        <v>2099</v>
      </c>
      <c r="B121" s="167" t="s">
        <v>2100</v>
      </c>
      <c r="C121" s="167" t="s">
        <v>2101</v>
      </c>
      <c r="D121" s="167">
        <v>2025.0</v>
      </c>
      <c r="E121" s="167" t="s">
        <v>2101</v>
      </c>
      <c r="F121" s="167" t="s">
        <v>2102</v>
      </c>
      <c r="G121" s="167" t="s">
        <v>2103</v>
      </c>
      <c r="H121" s="167"/>
      <c r="I121" s="167"/>
      <c r="J121" s="167"/>
      <c r="K121" s="167"/>
      <c r="L121" s="167"/>
      <c r="M121" s="167"/>
      <c r="N121" s="167"/>
      <c r="O121" s="167"/>
      <c r="P121" s="167"/>
      <c r="Q121" s="167"/>
      <c r="R121" s="167"/>
      <c r="S121" s="167"/>
      <c r="T121" s="167"/>
      <c r="U121" s="167"/>
      <c r="V121" s="167"/>
      <c r="W121" s="167"/>
      <c r="X121" s="167"/>
      <c r="Y121" s="167"/>
      <c r="Z121" s="167"/>
      <c r="AA121" s="167"/>
      <c r="AB121" s="167"/>
      <c r="AC121" s="167"/>
      <c r="AD121" s="167"/>
      <c r="AE121" s="167"/>
      <c r="AF121" s="167"/>
      <c r="AG121" s="167"/>
      <c r="AH121" s="167"/>
      <c r="AI121" s="167"/>
      <c r="AJ121" s="167"/>
      <c r="AK121" s="167"/>
      <c r="AL121" s="167"/>
      <c r="AM121" s="167"/>
      <c r="AN121" s="167"/>
      <c r="AO121" s="167"/>
      <c r="AP121" s="167"/>
      <c r="AQ121" s="167"/>
      <c r="AR121" s="167"/>
      <c r="AS121" s="168" t="s">
        <v>2104</v>
      </c>
      <c r="AT121" s="26" t="s">
        <v>2105</v>
      </c>
      <c r="AU121" s="26" t="s">
        <v>2106</v>
      </c>
      <c r="AV121" s="50" t="s">
        <v>75</v>
      </c>
      <c r="AW121" s="26" t="s">
        <v>1995</v>
      </c>
      <c r="AX121" s="154"/>
      <c r="AY121" s="155"/>
      <c r="AZ121" s="52"/>
    </row>
    <row r="122">
      <c r="A122" s="176" t="s">
        <v>2107</v>
      </c>
      <c r="B122" s="116" t="s">
        <v>2108</v>
      </c>
      <c r="C122" s="177" t="s">
        <v>2109</v>
      </c>
      <c r="D122" s="178">
        <v>2021.0</v>
      </c>
      <c r="E122" s="116" t="s">
        <v>2110</v>
      </c>
      <c r="F122" s="116" t="s">
        <v>2111</v>
      </c>
      <c r="G122" s="116" t="s">
        <v>2112</v>
      </c>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79" t="s">
        <v>2113</v>
      </c>
      <c r="AT122" s="116" t="s">
        <v>2114</v>
      </c>
      <c r="AU122" s="116" t="s">
        <v>2115</v>
      </c>
      <c r="AV122" s="180" t="s">
        <v>75</v>
      </c>
      <c r="AW122" s="180" t="s">
        <v>2022</v>
      </c>
      <c r="AX122" s="181"/>
      <c r="AY122" s="182"/>
      <c r="AZ122" s="183"/>
      <c r="BA122" s="184"/>
      <c r="BB122" s="184"/>
      <c r="BC122" s="184"/>
      <c r="BD122" s="184"/>
      <c r="BE122" s="184"/>
      <c r="BF122" s="184"/>
      <c r="BG122" s="184"/>
      <c r="BH122" s="184"/>
      <c r="BI122" s="184"/>
      <c r="BJ122" s="184"/>
      <c r="BK122" s="184"/>
      <c r="BL122" s="184"/>
    </row>
    <row r="123" ht="15.75" customHeight="1">
      <c r="A123" s="163" t="s">
        <v>2116</v>
      </c>
      <c r="B123" s="164" t="s">
        <v>2117</v>
      </c>
      <c r="C123" s="185" t="s">
        <v>2118</v>
      </c>
      <c r="D123" s="164">
        <v>2023.0</v>
      </c>
      <c r="E123" s="164" t="s">
        <v>2119</v>
      </c>
      <c r="F123" s="164" t="s">
        <v>2120</v>
      </c>
      <c r="G123" s="164" t="s">
        <v>2121</v>
      </c>
      <c r="H123" s="164"/>
      <c r="I123" s="164"/>
      <c r="J123" s="164"/>
      <c r="K123" s="164"/>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164"/>
      <c r="AH123" s="164"/>
      <c r="AI123" s="164"/>
      <c r="AJ123" s="164"/>
      <c r="AK123" s="164"/>
      <c r="AL123" s="164"/>
      <c r="AM123" s="164"/>
      <c r="AN123" s="164"/>
      <c r="AO123" s="164"/>
      <c r="AP123" s="164"/>
      <c r="AQ123" s="164"/>
      <c r="AR123" s="164"/>
      <c r="AS123" s="186" t="s">
        <v>2122</v>
      </c>
      <c r="AT123" s="50" t="s">
        <v>2123</v>
      </c>
      <c r="AU123" s="50" t="s">
        <v>2124</v>
      </c>
      <c r="AV123" s="50" t="s">
        <v>75</v>
      </c>
      <c r="AW123" s="26" t="s">
        <v>1995</v>
      </c>
      <c r="AX123" s="174"/>
      <c r="AY123" s="175"/>
      <c r="AZ123" s="76"/>
      <c r="BA123" s="77"/>
      <c r="BB123" s="77"/>
      <c r="BC123" s="77"/>
      <c r="BD123" s="77"/>
      <c r="BE123" s="77"/>
      <c r="BF123" s="77"/>
      <c r="BG123" s="77"/>
      <c r="BH123" s="77"/>
      <c r="BI123" s="77"/>
      <c r="BJ123" s="77"/>
      <c r="BK123" s="77"/>
      <c r="BL123" s="77"/>
    </row>
    <row r="124" ht="15.75" customHeight="1">
      <c r="A124" s="158" t="s">
        <v>2125</v>
      </c>
      <c r="B124" s="14" t="s">
        <v>2126</v>
      </c>
      <c r="C124" s="14" t="s">
        <v>2127</v>
      </c>
      <c r="D124" s="49">
        <v>2022.0</v>
      </c>
      <c r="E124" s="14" t="s">
        <v>2128</v>
      </c>
      <c r="F124" s="14" t="s">
        <v>2129</v>
      </c>
      <c r="G124" s="14" t="s">
        <v>2130</v>
      </c>
      <c r="H124" s="50"/>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51" t="s">
        <v>2131</v>
      </c>
      <c r="AT124" s="50" t="s">
        <v>2132</v>
      </c>
      <c r="AU124" s="50" t="s">
        <v>2133</v>
      </c>
      <c r="AV124" s="50" t="s">
        <v>75</v>
      </c>
      <c r="AW124" s="50" t="s">
        <v>2054</v>
      </c>
      <c r="AX124" s="174"/>
      <c r="AY124" s="175"/>
      <c r="AZ124" s="76"/>
      <c r="BA124" s="77"/>
      <c r="BB124" s="77"/>
      <c r="BC124" s="77"/>
      <c r="BD124" s="77"/>
      <c r="BE124" s="77"/>
      <c r="BF124" s="77"/>
      <c r="BG124" s="77"/>
      <c r="BH124" s="77"/>
      <c r="BI124" s="77"/>
      <c r="BJ124" s="77"/>
      <c r="BK124" s="77"/>
      <c r="BL124" s="77"/>
    </row>
    <row r="125" ht="15.75" customHeight="1">
      <c r="A125" s="158" t="s">
        <v>2134</v>
      </c>
      <c r="B125" s="14" t="s">
        <v>2135</v>
      </c>
      <c r="C125" s="14" t="s">
        <v>2136</v>
      </c>
      <c r="D125" s="49">
        <v>2023.0</v>
      </c>
      <c r="E125" s="14" t="s">
        <v>454</v>
      </c>
      <c r="F125" s="14" t="s">
        <v>2137</v>
      </c>
      <c r="G125" s="14" t="s">
        <v>2138</v>
      </c>
      <c r="H125" s="50"/>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51" t="s">
        <v>2139</v>
      </c>
      <c r="AT125" s="26" t="s">
        <v>2140</v>
      </c>
      <c r="AU125" s="26" t="s">
        <v>2141</v>
      </c>
      <c r="AV125" s="50" t="s">
        <v>75</v>
      </c>
      <c r="AW125" s="50" t="s">
        <v>2054</v>
      </c>
      <c r="AX125" s="174"/>
      <c r="AY125" s="175"/>
      <c r="AZ125" s="76"/>
      <c r="BA125" s="77"/>
      <c r="BB125" s="77"/>
      <c r="BC125" s="77"/>
      <c r="BD125" s="77"/>
      <c r="BE125" s="77"/>
      <c r="BF125" s="77"/>
      <c r="BG125" s="77"/>
      <c r="BH125" s="77"/>
      <c r="BI125" s="77"/>
      <c r="BJ125" s="77"/>
      <c r="BK125" s="77"/>
      <c r="BL125" s="77"/>
    </row>
    <row r="126" ht="15.75" customHeight="1">
      <c r="A126" s="158" t="s">
        <v>2142</v>
      </c>
      <c r="B126" s="14" t="s">
        <v>2143</v>
      </c>
      <c r="C126" s="51" t="s">
        <v>2144</v>
      </c>
      <c r="D126" s="49">
        <v>2022.0</v>
      </c>
      <c r="E126" s="14" t="s">
        <v>2145</v>
      </c>
      <c r="F126" s="14" t="s">
        <v>2146</v>
      </c>
      <c r="G126" s="14" t="s">
        <v>2147</v>
      </c>
      <c r="H126" s="50"/>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51" t="s">
        <v>2148</v>
      </c>
      <c r="AT126" s="26" t="s">
        <v>2149</v>
      </c>
      <c r="AU126" s="26" t="s">
        <v>2150</v>
      </c>
      <c r="AV126" s="50" t="s">
        <v>75</v>
      </c>
      <c r="AW126" s="50" t="s">
        <v>2054</v>
      </c>
      <c r="AX126" s="174"/>
      <c r="AY126" s="175"/>
      <c r="AZ126" s="76"/>
      <c r="BA126" s="77"/>
      <c r="BB126" s="77"/>
      <c r="BC126" s="77"/>
      <c r="BD126" s="77"/>
      <c r="BE126" s="77"/>
      <c r="BF126" s="77"/>
      <c r="BG126" s="77"/>
      <c r="BH126" s="77"/>
      <c r="BI126" s="77"/>
      <c r="BJ126" s="77"/>
      <c r="BK126" s="77"/>
      <c r="BL126" s="77"/>
    </row>
    <row r="127" ht="15.75" customHeight="1">
      <c r="A127" s="158" t="s">
        <v>2151</v>
      </c>
      <c r="B127" s="14" t="s">
        <v>2152</v>
      </c>
      <c r="C127" s="14" t="s">
        <v>2153</v>
      </c>
      <c r="D127" s="49">
        <v>2021.0</v>
      </c>
      <c r="E127" s="14" t="s">
        <v>2154</v>
      </c>
      <c r="F127" s="14" t="s">
        <v>2155</v>
      </c>
      <c r="G127" s="14" t="s">
        <v>2156</v>
      </c>
      <c r="H127" s="50"/>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51" t="s">
        <v>2157</v>
      </c>
      <c r="AT127" s="167" t="s">
        <v>2158</v>
      </c>
      <c r="AU127" s="26" t="s">
        <v>2159</v>
      </c>
      <c r="AV127" s="50" t="s">
        <v>75</v>
      </c>
      <c r="AW127" s="50" t="s">
        <v>2054</v>
      </c>
      <c r="AX127" s="174"/>
      <c r="AY127" s="175"/>
      <c r="AZ127" s="76"/>
      <c r="BA127" s="77"/>
      <c r="BB127" s="77"/>
      <c r="BC127" s="77"/>
      <c r="BD127" s="77"/>
      <c r="BE127" s="77"/>
      <c r="BF127" s="77"/>
      <c r="BG127" s="77"/>
      <c r="BH127" s="77"/>
      <c r="BI127" s="77"/>
      <c r="BJ127" s="77"/>
      <c r="BK127" s="77"/>
      <c r="BL127" s="77"/>
    </row>
    <row r="128" ht="15.75" customHeight="1">
      <c r="A128" s="158" t="s">
        <v>2160</v>
      </c>
      <c r="B128" s="14" t="s">
        <v>2161</v>
      </c>
      <c r="C128" s="14" t="s">
        <v>2162</v>
      </c>
      <c r="D128" s="49">
        <v>2024.0</v>
      </c>
      <c r="E128" s="14" t="s">
        <v>222</v>
      </c>
      <c r="F128" s="14" t="s">
        <v>2163</v>
      </c>
      <c r="G128" s="14" t="s">
        <v>2164</v>
      </c>
      <c r="H128" s="50"/>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87" t="s">
        <v>2165</v>
      </c>
      <c r="AT128" s="167" t="s">
        <v>2166</v>
      </c>
      <c r="AU128" s="26" t="s">
        <v>2167</v>
      </c>
      <c r="AV128" s="50" t="s">
        <v>75</v>
      </c>
      <c r="AW128" s="50" t="s">
        <v>2054</v>
      </c>
      <c r="AX128" s="174"/>
      <c r="AY128" s="175"/>
      <c r="AZ128" s="76"/>
      <c r="BA128" s="77"/>
      <c r="BB128" s="77"/>
      <c r="BC128" s="77"/>
      <c r="BD128" s="77"/>
      <c r="BE128" s="77"/>
      <c r="BF128" s="77"/>
      <c r="BG128" s="77"/>
      <c r="BH128" s="77"/>
      <c r="BI128" s="77"/>
      <c r="BJ128" s="77"/>
      <c r="BK128" s="77"/>
      <c r="BL128" s="77"/>
    </row>
    <row r="129" ht="15.75" customHeight="1">
      <c r="A129" s="158" t="s">
        <v>2168</v>
      </c>
      <c r="B129" s="14" t="s">
        <v>2169</v>
      </c>
      <c r="C129" s="14" t="s">
        <v>2170</v>
      </c>
      <c r="D129" s="49">
        <v>2023.0</v>
      </c>
      <c r="E129" s="14" t="s">
        <v>2171</v>
      </c>
      <c r="F129" s="14" t="s">
        <v>2172</v>
      </c>
      <c r="G129" s="14" t="s">
        <v>2173</v>
      </c>
      <c r="H129" s="50"/>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51" t="s">
        <v>2174</v>
      </c>
      <c r="AT129" s="167" t="s">
        <v>2175</v>
      </c>
      <c r="AU129" s="26" t="s">
        <v>2176</v>
      </c>
      <c r="AV129" s="50" t="s">
        <v>75</v>
      </c>
      <c r="AW129" s="50" t="s">
        <v>2054</v>
      </c>
      <c r="AX129" s="174"/>
      <c r="AY129" s="175"/>
      <c r="AZ129" s="76"/>
      <c r="BA129" s="77"/>
      <c r="BB129" s="77"/>
      <c r="BC129" s="77"/>
      <c r="BD129" s="77"/>
      <c r="BE129" s="77"/>
      <c r="BF129" s="77"/>
      <c r="BG129" s="77"/>
      <c r="BH129" s="77"/>
      <c r="BI129" s="77"/>
      <c r="BJ129" s="77"/>
      <c r="BK129" s="77"/>
      <c r="BL129" s="77"/>
    </row>
    <row r="130" ht="15.75" customHeight="1">
      <c r="A130" s="158" t="s">
        <v>2177</v>
      </c>
      <c r="B130" s="14" t="s">
        <v>2178</v>
      </c>
      <c r="C130" s="14" t="s">
        <v>2179</v>
      </c>
      <c r="D130" s="49">
        <v>2025.0</v>
      </c>
      <c r="E130" s="14" t="s">
        <v>2180</v>
      </c>
      <c r="F130" s="14" t="s">
        <v>2181</v>
      </c>
      <c r="G130" s="14" t="s">
        <v>2182</v>
      </c>
      <c r="H130" s="50"/>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51" t="s">
        <v>2183</v>
      </c>
      <c r="AT130" s="26" t="s">
        <v>2184</v>
      </c>
      <c r="AU130" s="26" t="s">
        <v>2185</v>
      </c>
      <c r="AV130" s="50" t="s">
        <v>75</v>
      </c>
      <c r="AW130" s="50" t="s">
        <v>2054</v>
      </c>
      <c r="AX130" s="174"/>
      <c r="AY130" s="175"/>
      <c r="AZ130" s="76"/>
      <c r="BA130" s="77"/>
      <c r="BB130" s="77"/>
      <c r="BC130" s="77"/>
      <c r="BD130" s="77"/>
      <c r="BE130" s="77"/>
      <c r="BF130" s="77"/>
      <c r="BG130" s="77"/>
      <c r="BH130" s="77"/>
      <c r="BI130" s="77"/>
      <c r="BJ130" s="77"/>
      <c r="BK130" s="77"/>
      <c r="BL130" s="77"/>
    </row>
    <row r="131" ht="15.75" customHeight="1">
      <c r="A131" s="188" t="s">
        <v>2186</v>
      </c>
      <c r="B131" s="26" t="s">
        <v>2187</v>
      </c>
      <c r="C131" s="26" t="s">
        <v>2188</v>
      </c>
      <c r="D131" s="26">
        <v>2021.0</v>
      </c>
      <c r="E131" s="26" t="s">
        <v>2189</v>
      </c>
      <c r="F131" s="189" t="s">
        <v>2190</v>
      </c>
      <c r="G131" s="26" t="s">
        <v>2191</v>
      </c>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190" t="s">
        <v>2192</v>
      </c>
      <c r="AT131" s="180" t="s">
        <v>2193</v>
      </c>
      <c r="AU131" s="180" t="s">
        <v>2194</v>
      </c>
      <c r="AV131" s="50" t="s">
        <v>75</v>
      </c>
      <c r="AW131" s="50" t="s">
        <v>2054</v>
      </c>
      <c r="AX131" s="154"/>
      <c r="AY131" s="155"/>
      <c r="AZ131" s="52"/>
    </row>
    <row r="132" ht="15.75" customHeight="1">
      <c r="A132" s="188" t="s">
        <v>2195</v>
      </c>
      <c r="B132" s="26" t="s">
        <v>2196</v>
      </c>
      <c r="C132" s="26" t="s">
        <v>2197</v>
      </c>
      <c r="D132" s="26">
        <v>2025.0</v>
      </c>
      <c r="E132" s="26" t="s">
        <v>2198</v>
      </c>
      <c r="F132" s="189" t="s">
        <v>2199</v>
      </c>
      <c r="G132" s="26" t="s">
        <v>2200</v>
      </c>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165" t="s">
        <v>2201</v>
      </c>
      <c r="AT132" s="180" t="s">
        <v>2202</v>
      </c>
      <c r="AU132" s="180" t="s">
        <v>2203</v>
      </c>
      <c r="AV132" s="50" t="s">
        <v>75</v>
      </c>
      <c r="AW132" s="26" t="s">
        <v>2022</v>
      </c>
      <c r="AX132" s="154"/>
      <c r="AY132" s="155"/>
      <c r="AZ132" s="52"/>
    </row>
    <row r="133" ht="15.75" customHeight="1">
      <c r="A133" s="188" t="s">
        <v>2204</v>
      </c>
      <c r="B133" s="26" t="s">
        <v>2205</v>
      </c>
      <c r="C133" s="26" t="s">
        <v>2206</v>
      </c>
      <c r="D133" s="26">
        <v>2026.0</v>
      </c>
      <c r="E133" s="26" t="s">
        <v>2207</v>
      </c>
      <c r="F133" s="189" t="s">
        <v>2208</v>
      </c>
      <c r="G133" s="26" t="s">
        <v>2209</v>
      </c>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190" t="s">
        <v>2210</v>
      </c>
      <c r="AT133" s="180" t="s">
        <v>2211</v>
      </c>
      <c r="AU133" s="180" t="s">
        <v>2212</v>
      </c>
      <c r="AV133" s="50" t="s">
        <v>75</v>
      </c>
      <c r="AW133" s="50" t="s">
        <v>2054</v>
      </c>
      <c r="AX133" s="154"/>
      <c r="AY133" s="155"/>
      <c r="AZ133" s="52"/>
    </row>
    <row r="134" ht="15.75" customHeight="1">
      <c r="A134" s="188" t="s">
        <v>2213</v>
      </c>
      <c r="B134" s="191"/>
      <c r="C134" s="165" t="s">
        <v>2214</v>
      </c>
      <c r="D134" s="191"/>
      <c r="E134" s="191"/>
      <c r="F134" s="189" t="s">
        <v>2215</v>
      </c>
      <c r="G134" s="191"/>
      <c r="H134" s="191"/>
      <c r="I134" s="191"/>
      <c r="J134" s="191"/>
      <c r="K134" s="191"/>
      <c r="L134" s="191"/>
      <c r="M134" s="191"/>
      <c r="N134" s="191"/>
      <c r="O134" s="191"/>
      <c r="P134" s="191"/>
      <c r="Q134" s="191"/>
      <c r="R134" s="26"/>
      <c r="S134" s="191"/>
      <c r="T134" s="26"/>
      <c r="U134" s="26"/>
      <c r="V134" s="191"/>
      <c r="W134" s="191"/>
      <c r="X134" s="191"/>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65" t="s">
        <v>2214</v>
      </c>
      <c r="AT134" s="26" t="s">
        <v>2216</v>
      </c>
      <c r="AU134" s="192" t="s">
        <v>2217</v>
      </c>
      <c r="AV134" s="26" t="s">
        <v>75</v>
      </c>
      <c r="AW134" s="26" t="s">
        <v>2022</v>
      </c>
      <c r="AX134" s="154"/>
      <c r="AY134" s="155"/>
      <c r="AZ134" s="52"/>
    </row>
    <row r="135" ht="15.75" customHeight="1">
      <c r="A135" s="188" t="s">
        <v>2218</v>
      </c>
      <c r="B135" s="26"/>
      <c r="C135" s="165" t="s">
        <v>2219</v>
      </c>
      <c r="D135" s="191"/>
      <c r="E135" s="191"/>
      <c r="F135" s="189" t="s">
        <v>2220</v>
      </c>
      <c r="G135" s="191"/>
      <c r="H135" s="191"/>
      <c r="I135" s="191"/>
      <c r="J135" s="191"/>
      <c r="K135" s="191"/>
      <c r="L135" s="191"/>
      <c r="M135" s="191"/>
      <c r="N135" s="191"/>
      <c r="O135" s="191"/>
      <c r="P135" s="191"/>
      <c r="Q135" s="191"/>
      <c r="R135" s="26"/>
      <c r="S135" s="191"/>
      <c r="T135" s="26"/>
      <c r="U135" s="26"/>
      <c r="V135" s="191"/>
      <c r="W135" s="191"/>
      <c r="X135" s="191"/>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65" t="s">
        <v>2219</v>
      </c>
      <c r="AT135" s="26" t="s">
        <v>2221</v>
      </c>
      <c r="AU135" s="192" t="s">
        <v>2222</v>
      </c>
      <c r="AV135" s="26" t="s">
        <v>75</v>
      </c>
      <c r="AW135" s="26" t="s">
        <v>2054</v>
      </c>
      <c r="AX135" s="154"/>
      <c r="AY135" s="155"/>
      <c r="AZ135" s="52"/>
    </row>
    <row r="136" ht="15.75" customHeight="1">
      <c r="A136" s="188" t="s">
        <v>2223</v>
      </c>
      <c r="B136" s="191"/>
      <c r="C136" s="165" t="s">
        <v>2224</v>
      </c>
      <c r="D136" s="191"/>
      <c r="E136" s="191"/>
      <c r="F136" s="189" t="s">
        <v>2225</v>
      </c>
      <c r="G136" s="191"/>
      <c r="H136" s="191"/>
      <c r="I136" s="191"/>
      <c r="J136" s="191"/>
      <c r="K136" s="191"/>
      <c r="L136" s="191"/>
      <c r="M136" s="191"/>
      <c r="N136" s="191"/>
      <c r="O136" s="191"/>
      <c r="P136" s="191"/>
      <c r="Q136" s="191"/>
      <c r="R136" s="26"/>
      <c r="S136" s="191"/>
      <c r="T136" s="26"/>
      <c r="U136" s="26"/>
      <c r="V136" s="191"/>
      <c r="W136" s="191"/>
      <c r="X136" s="191"/>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65" t="s">
        <v>2224</v>
      </c>
      <c r="AT136" s="26" t="s">
        <v>2226</v>
      </c>
      <c r="AU136" s="192" t="s">
        <v>2227</v>
      </c>
      <c r="AV136" s="26" t="s">
        <v>75</v>
      </c>
      <c r="AW136" s="26" t="s">
        <v>2022</v>
      </c>
      <c r="AX136" s="154"/>
      <c r="AY136" s="155"/>
      <c r="AZ136" s="52"/>
    </row>
    <row r="137" ht="15.75" customHeight="1">
      <c r="A137" s="188" t="s">
        <v>2228</v>
      </c>
      <c r="B137" s="191"/>
      <c r="C137" s="26" t="s">
        <v>2229</v>
      </c>
      <c r="D137" s="191"/>
      <c r="E137" s="191"/>
      <c r="F137" s="189" t="s">
        <v>679</v>
      </c>
      <c r="G137" s="191"/>
      <c r="H137" s="191"/>
      <c r="I137" s="191"/>
      <c r="J137" s="191"/>
      <c r="K137" s="191"/>
      <c r="L137" s="191"/>
      <c r="M137" s="191"/>
      <c r="N137" s="191"/>
      <c r="O137" s="191"/>
      <c r="P137" s="191"/>
      <c r="Q137" s="191"/>
      <c r="R137" s="26"/>
      <c r="S137" s="191"/>
      <c r="T137" s="26"/>
      <c r="U137" s="26"/>
      <c r="V137" s="191"/>
      <c r="W137" s="191"/>
      <c r="X137" s="191"/>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26" t="s">
        <v>2229</v>
      </c>
      <c r="AT137" s="26" t="s">
        <v>695</v>
      </c>
      <c r="AU137" s="193" t="s">
        <v>2230</v>
      </c>
      <c r="AV137" s="26" t="s">
        <v>75</v>
      </c>
      <c r="AW137" s="26" t="s">
        <v>2022</v>
      </c>
      <c r="AX137" s="154"/>
      <c r="AY137" s="155"/>
      <c r="AZ137" s="52"/>
    </row>
    <row r="138" ht="15.75" customHeight="1">
      <c r="A138" s="188" t="s">
        <v>2231</v>
      </c>
      <c r="B138" s="191"/>
      <c r="C138" s="165" t="s">
        <v>2232</v>
      </c>
      <c r="D138" s="191"/>
      <c r="E138" s="191"/>
      <c r="F138" s="189" t="s">
        <v>2233</v>
      </c>
      <c r="G138" s="191"/>
      <c r="H138" s="191"/>
      <c r="I138" s="191"/>
      <c r="J138" s="191"/>
      <c r="K138" s="191"/>
      <c r="L138" s="191"/>
      <c r="M138" s="191"/>
      <c r="N138" s="191"/>
      <c r="O138" s="191"/>
      <c r="P138" s="191"/>
      <c r="Q138" s="191"/>
      <c r="R138" s="26"/>
      <c r="S138" s="191"/>
      <c r="T138" s="26"/>
      <c r="U138" s="26"/>
      <c r="V138" s="191"/>
      <c r="W138" s="191"/>
      <c r="X138" s="191"/>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65" t="s">
        <v>2232</v>
      </c>
      <c r="AT138" s="26" t="s">
        <v>2234</v>
      </c>
      <c r="AU138" s="194" t="s">
        <v>2235</v>
      </c>
      <c r="AV138" s="26" t="s">
        <v>75</v>
      </c>
      <c r="AW138" s="26" t="s">
        <v>1995</v>
      </c>
      <c r="AX138" s="154"/>
      <c r="AY138" s="155"/>
      <c r="AZ138" s="52"/>
    </row>
    <row r="139" ht="15.75" customHeight="1">
      <c r="A139" s="188" t="s">
        <v>2236</v>
      </c>
      <c r="B139" s="191"/>
      <c r="C139" s="165" t="s">
        <v>2237</v>
      </c>
      <c r="D139" s="191"/>
      <c r="E139" s="191"/>
      <c r="F139" s="189" t="s">
        <v>2238</v>
      </c>
      <c r="G139" s="191"/>
      <c r="H139" s="191"/>
      <c r="I139" s="191"/>
      <c r="J139" s="191"/>
      <c r="K139" s="191"/>
      <c r="L139" s="191"/>
      <c r="M139" s="191"/>
      <c r="N139" s="191"/>
      <c r="O139" s="191"/>
      <c r="P139" s="191"/>
      <c r="Q139" s="191"/>
      <c r="R139" s="26"/>
      <c r="S139" s="191"/>
      <c r="T139" s="26"/>
      <c r="U139" s="26"/>
      <c r="V139" s="191"/>
      <c r="W139" s="191"/>
      <c r="X139" s="191"/>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65" t="s">
        <v>2237</v>
      </c>
      <c r="AT139" s="26" t="s">
        <v>2239</v>
      </c>
      <c r="AU139" s="192" t="s">
        <v>1204</v>
      </c>
      <c r="AV139" s="26" t="s">
        <v>75</v>
      </c>
      <c r="AW139" s="26" t="s">
        <v>2054</v>
      </c>
      <c r="AX139" s="154"/>
      <c r="AY139" s="155"/>
      <c r="AZ139" s="52"/>
    </row>
    <row r="140" ht="15.75" customHeight="1">
      <c r="A140" s="188" t="s">
        <v>2240</v>
      </c>
      <c r="B140" s="191"/>
      <c r="C140" s="165" t="s">
        <v>2241</v>
      </c>
      <c r="D140" s="191"/>
      <c r="E140" s="191"/>
      <c r="F140" s="189" t="s">
        <v>2242</v>
      </c>
      <c r="G140" s="191"/>
      <c r="H140" s="191"/>
      <c r="I140" s="191"/>
      <c r="J140" s="191"/>
      <c r="K140" s="191"/>
      <c r="L140" s="191"/>
      <c r="M140" s="191"/>
      <c r="N140" s="191"/>
      <c r="O140" s="191"/>
      <c r="P140" s="191"/>
      <c r="Q140" s="191"/>
      <c r="R140" s="26"/>
      <c r="S140" s="191"/>
      <c r="T140" s="26"/>
      <c r="U140" s="26"/>
      <c r="V140" s="191"/>
      <c r="W140" s="191"/>
      <c r="X140" s="191"/>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65" t="s">
        <v>2241</v>
      </c>
      <c r="AT140" s="26" t="s">
        <v>2243</v>
      </c>
      <c r="AU140" s="192" t="s">
        <v>2244</v>
      </c>
      <c r="AV140" s="26" t="s">
        <v>75</v>
      </c>
      <c r="AW140" s="26" t="s">
        <v>2022</v>
      </c>
      <c r="AX140" s="154"/>
      <c r="AY140" s="155"/>
      <c r="AZ140" s="52"/>
    </row>
    <row r="141" ht="15.75" customHeight="1">
      <c r="A141" s="188" t="s">
        <v>2245</v>
      </c>
      <c r="B141" s="191"/>
      <c r="C141" s="165" t="s">
        <v>2246</v>
      </c>
      <c r="D141" s="191"/>
      <c r="E141" s="191"/>
      <c r="F141" s="189" t="s">
        <v>2247</v>
      </c>
      <c r="G141" s="191"/>
      <c r="H141" s="191"/>
      <c r="I141" s="191"/>
      <c r="J141" s="191"/>
      <c r="K141" s="191"/>
      <c r="L141" s="191"/>
      <c r="M141" s="191"/>
      <c r="N141" s="191"/>
      <c r="O141" s="191"/>
      <c r="P141" s="191"/>
      <c r="Q141" s="191"/>
      <c r="R141" s="26"/>
      <c r="S141" s="191"/>
      <c r="T141" s="26"/>
      <c r="U141" s="26"/>
      <c r="V141" s="191"/>
      <c r="W141" s="191"/>
      <c r="X141" s="191"/>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65" t="s">
        <v>2246</v>
      </c>
      <c r="AT141" s="26" t="s">
        <v>2248</v>
      </c>
      <c r="AU141" s="195" t="s">
        <v>2249</v>
      </c>
      <c r="AV141" s="26" t="s">
        <v>75</v>
      </c>
      <c r="AW141" s="26" t="s">
        <v>2054</v>
      </c>
      <c r="AX141" s="154"/>
      <c r="AY141" s="155"/>
      <c r="AZ141" s="52"/>
    </row>
    <row r="142" ht="15.75" customHeight="1">
      <c r="A142" s="188" t="s">
        <v>2250</v>
      </c>
      <c r="B142" s="191"/>
      <c r="C142" s="165" t="s">
        <v>2251</v>
      </c>
      <c r="D142" s="191"/>
      <c r="E142" s="191"/>
      <c r="F142" s="189" t="s">
        <v>2252</v>
      </c>
      <c r="G142" s="191"/>
      <c r="H142" s="191"/>
      <c r="I142" s="191"/>
      <c r="J142" s="191"/>
      <c r="K142" s="191"/>
      <c r="L142" s="191"/>
      <c r="M142" s="191"/>
      <c r="N142" s="191"/>
      <c r="O142" s="191"/>
      <c r="P142" s="191"/>
      <c r="Q142" s="191"/>
      <c r="R142" s="26"/>
      <c r="S142" s="191"/>
      <c r="T142" s="26"/>
      <c r="U142" s="26"/>
      <c r="V142" s="191"/>
      <c r="W142" s="191"/>
      <c r="X142" s="191"/>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65" t="s">
        <v>2251</v>
      </c>
      <c r="AT142" s="26" t="s">
        <v>2253</v>
      </c>
      <c r="AU142" s="192" t="s">
        <v>2254</v>
      </c>
      <c r="AV142" s="26" t="s">
        <v>75</v>
      </c>
      <c r="AW142" s="26" t="s">
        <v>2054</v>
      </c>
      <c r="AX142" s="154"/>
      <c r="AY142" s="155"/>
      <c r="AZ142" s="52"/>
    </row>
    <row r="143" ht="15.75" customHeight="1">
      <c r="A143" s="188" t="s">
        <v>2255</v>
      </c>
      <c r="B143" s="191"/>
      <c r="C143" s="165" t="s">
        <v>2256</v>
      </c>
      <c r="D143" s="191"/>
      <c r="E143" s="191"/>
      <c r="F143" s="189" t="s">
        <v>2257</v>
      </c>
      <c r="G143" s="191"/>
      <c r="H143" s="191"/>
      <c r="I143" s="191"/>
      <c r="J143" s="191"/>
      <c r="K143" s="191"/>
      <c r="L143" s="191"/>
      <c r="M143" s="191"/>
      <c r="N143" s="191"/>
      <c r="O143" s="191"/>
      <c r="P143" s="191"/>
      <c r="Q143" s="191"/>
      <c r="R143" s="26"/>
      <c r="S143" s="191"/>
      <c r="T143" s="26"/>
      <c r="U143" s="26"/>
      <c r="V143" s="191"/>
      <c r="W143" s="191"/>
      <c r="X143" s="191"/>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65" t="s">
        <v>2256</v>
      </c>
      <c r="AT143" s="26" t="s">
        <v>2258</v>
      </c>
      <c r="AU143" s="196" t="s">
        <v>2259</v>
      </c>
      <c r="AV143" s="26" t="s">
        <v>75</v>
      </c>
      <c r="AW143" s="26" t="s">
        <v>2022</v>
      </c>
      <c r="AX143" s="154"/>
      <c r="AY143" s="155"/>
      <c r="AZ143" s="52"/>
    </row>
    <row r="144" ht="15.75" customHeight="1">
      <c r="A144" s="188" t="s">
        <v>2260</v>
      </c>
      <c r="B144" s="191"/>
      <c r="C144" s="165" t="s">
        <v>2261</v>
      </c>
      <c r="D144" s="191"/>
      <c r="E144" s="191"/>
      <c r="F144" s="189" t="s">
        <v>2262</v>
      </c>
      <c r="G144" s="191"/>
      <c r="H144" s="191"/>
      <c r="I144" s="191"/>
      <c r="J144" s="191"/>
      <c r="K144" s="191"/>
      <c r="L144" s="191"/>
      <c r="M144" s="191"/>
      <c r="N144" s="191"/>
      <c r="O144" s="191"/>
      <c r="P144" s="191"/>
      <c r="Q144" s="191"/>
      <c r="R144" s="26"/>
      <c r="S144" s="191"/>
      <c r="T144" s="26"/>
      <c r="U144" s="26"/>
      <c r="V144" s="191"/>
      <c r="W144" s="191"/>
      <c r="X144" s="191"/>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65" t="s">
        <v>2261</v>
      </c>
      <c r="AT144" s="26" t="s">
        <v>2263</v>
      </c>
      <c r="AU144" s="192" t="s">
        <v>2264</v>
      </c>
      <c r="AV144" s="26" t="s">
        <v>75</v>
      </c>
      <c r="AW144" s="26" t="s">
        <v>2054</v>
      </c>
      <c r="AX144" s="154"/>
      <c r="AY144" s="155"/>
      <c r="AZ144" s="52"/>
    </row>
    <row r="145" ht="15.75" customHeight="1">
      <c r="A145" s="188" t="s">
        <v>2265</v>
      </c>
      <c r="B145" s="191"/>
      <c r="C145" s="165" t="s">
        <v>2266</v>
      </c>
      <c r="D145" s="191"/>
      <c r="E145" s="191"/>
      <c r="F145" s="189" t="s">
        <v>2267</v>
      </c>
      <c r="G145" s="191"/>
      <c r="H145" s="191"/>
      <c r="I145" s="191"/>
      <c r="J145" s="191"/>
      <c r="K145" s="191"/>
      <c r="L145" s="191"/>
      <c r="M145" s="191"/>
      <c r="N145" s="191"/>
      <c r="O145" s="191"/>
      <c r="P145" s="191"/>
      <c r="Q145" s="191"/>
      <c r="R145" s="26"/>
      <c r="S145" s="191"/>
      <c r="T145" s="26"/>
      <c r="U145" s="26"/>
      <c r="V145" s="191"/>
      <c r="W145" s="191"/>
      <c r="X145" s="191"/>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65" t="s">
        <v>2266</v>
      </c>
      <c r="AT145" s="26" t="s">
        <v>2268</v>
      </c>
      <c r="AU145" s="195" t="s">
        <v>2269</v>
      </c>
      <c r="AV145" s="26" t="s">
        <v>75</v>
      </c>
      <c r="AW145" s="26" t="s">
        <v>2054</v>
      </c>
      <c r="AX145" s="154"/>
      <c r="AY145" s="155"/>
      <c r="AZ145" s="52"/>
    </row>
    <row r="146" ht="15.75" customHeight="1">
      <c r="A146" s="188" t="s">
        <v>2270</v>
      </c>
      <c r="B146" s="191"/>
      <c r="C146" s="165" t="s">
        <v>2271</v>
      </c>
      <c r="D146" s="191"/>
      <c r="E146" s="191"/>
      <c r="F146" s="189" t="s">
        <v>2272</v>
      </c>
      <c r="G146" s="191"/>
      <c r="H146" s="191"/>
      <c r="I146" s="191"/>
      <c r="J146" s="191"/>
      <c r="K146" s="191"/>
      <c r="L146" s="191"/>
      <c r="M146" s="191"/>
      <c r="N146" s="191"/>
      <c r="O146" s="191"/>
      <c r="P146" s="191"/>
      <c r="Q146" s="191"/>
      <c r="R146" s="26"/>
      <c r="S146" s="191"/>
      <c r="T146" s="26"/>
      <c r="U146" s="26"/>
      <c r="V146" s="191"/>
      <c r="W146" s="191"/>
      <c r="X146" s="191"/>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65" t="s">
        <v>2271</v>
      </c>
      <c r="AT146" s="26" t="s">
        <v>2273</v>
      </c>
      <c r="AU146" s="195" t="s">
        <v>2274</v>
      </c>
      <c r="AV146" s="26" t="s">
        <v>75</v>
      </c>
      <c r="AW146" s="26" t="s">
        <v>2054</v>
      </c>
      <c r="AX146" s="154"/>
      <c r="AY146" s="155"/>
      <c r="AZ146" s="52"/>
    </row>
    <row r="147" ht="15.75" customHeight="1">
      <c r="A147" s="188" t="s">
        <v>2275</v>
      </c>
      <c r="B147" s="191"/>
      <c r="C147" s="165" t="s">
        <v>2276</v>
      </c>
      <c r="D147" s="191"/>
      <c r="E147" s="191"/>
      <c r="F147" s="189" t="s">
        <v>2277</v>
      </c>
      <c r="G147" s="191"/>
      <c r="H147" s="191"/>
      <c r="I147" s="191"/>
      <c r="J147" s="191"/>
      <c r="K147" s="191"/>
      <c r="L147" s="191"/>
      <c r="M147" s="191"/>
      <c r="N147" s="191"/>
      <c r="O147" s="191"/>
      <c r="P147" s="191"/>
      <c r="Q147" s="191"/>
      <c r="R147" s="26"/>
      <c r="S147" s="191"/>
      <c r="T147" s="26"/>
      <c r="U147" s="26"/>
      <c r="V147" s="191"/>
      <c r="W147" s="191"/>
      <c r="X147" s="191"/>
      <c r="Y147" s="191"/>
      <c r="Z147" s="191"/>
      <c r="AA147" s="191"/>
      <c r="AB147" s="191"/>
      <c r="AC147" s="191"/>
      <c r="AD147" s="191"/>
      <c r="AE147" s="191"/>
      <c r="AF147" s="191"/>
      <c r="AG147" s="191"/>
      <c r="AH147" s="191"/>
      <c r="AI147" s="191"/>
      <c r="AJ147" s="191"/>
      <c r="AK147" s="191"/>
      <c r="AL147" s="191"/>
      <c r="AM147" s="191"/>
      <c r="AN147" s="191"/>
      <c r="AO147" s="191"/>
      <c r="AP147" s="191"/>
      <c r="AQ147" s="191"/>
      <c r="AR147" s="191"/>
      <c r="AS147" s="165" t="s">
        <v>2276</v>
      </c>
      <c r="AT147" s="26" t="s">
        <v>2278</v>
      </c>
      <c r="AU147" s="195" t="s">
        <v>2279</v>
      </c>
      <c r="AV147" s="26" t="s">
        <v>75</v>
      </c>
      <c r="AW147" s="26" t="s">
        <v>2054</v>
      </c>
      <c r="AX147" s="154"/>
      <c r="AY147" s="155"/>
      <c r="AZ147" s="52"/>
    </row>
    <row r="148" ht="15.75" customHeight="1">
      <c r="A148" s="188" t="s">
        <v>2280</v>
      </c>
      <c r="B148" s="191"/>
      <c r="C148" s="165" t="s">
        <v>598</v>
      </c>
      <c r="D148" s="191"/>
      <c r="E148" s="191"/>
      <c r="F148" s="189" t="s">
        <v>2281</v>
      </c>
      <c r="G148" s="191"/>
      <c r="H148" s="191"/>
      <c r="I148" s="191"/>
      <c r="J148" s="191"/>
      <c r="K148" s="191"/>
      <c r="L148" s="191"/>
      <c r="M148" s="191"/>
      <c r="N148" s="191"/>
      <c r="O148" s="191"/>
      <c r="P148" s="191"/>
      <c r="Q148" s="191"/>
      <c r="R148" s="26"/>
      <c r="S148" s="191"/>
      <c r="T148" s="26"/>
      <c r="U148" s="26"/>
      <c r="V148" s="191"/>
      <c r="W148" s="191"/>
      <c r="X148" s="191"/>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65" t="s">
        <v>598</v>
      </c>
      <c r="AT148" s="26" t="s">
        <v>2282</v>
      </c>
      <c r="AU148" s="197" t="s">
        <v>2283</v>
      </c>
      <c r="AV148" s="26" t="s">
        <v>75</v>
      </c>
      <c r="AW148" s="26" t="s">
        <v>2022</v>
      </c>
      <c r="AX148" s="154"/>
      <c r="AY148" s="155"/>
      <c r="AZ148" s="52"/>
    </row>
    <row r="149" ht="15.75" customHeight="1">
      <c r="A149" s="188" t="s">
        <v>2284</v>
      </c>
      <c r="B149" s="191"/>
      <c r="C149" s="165" t="s">
        <v>2285</v>
      </c>
      <c r="D149" s="191"/>
      <c r="E149" s="191"/>
      <c r="F149" s="189" t="s">
        <v>2286</v>
      </c>
      <c r="G149" s="191"/>
      <c r="H149" s="191"/>
      <c r="I149" s="191"/>
      <c r="J149" s="191"/>
      <c r="K149" s="191"/>
      <c r="L149" s="191"/>
      <c r="M149" s="191"/>
      <c r="N149" s="191"/>
      <c r="O149" s="191"/>
      <c r="P149" s="191"/>
      <c r="Q149" s="191"/>
      <c r="R149" s="26"/>
      <c r="S149" s="191"/>
      <c r="T149" s="26"/>
      <c r="U149" s="26"/>
      <c r="V149" s="191"/>
      <c r="W149" s="191"/>
      <c r="X149" s="191"/>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65" t="s">
        <v>2285</v>
      </c>
      <c r="AT149" s="26" t="s">
        <v>2287</v>
      </c>
      <c r="AU149" s="198" t="s">
        <v>2288</v>
      </c>
      <c r="AV149" s="26" t="s">
        <v>75</v>
      </c>
      <c r="AW149" s="26" t="s">
        <v>2092</v>
      </c>
      <c r="AX149" s="154"/>
      <c r="AY149" s="155"/>
      <c r="AZ149" s="52"/>
    </row>
    <row r="150" ht="15.75" customHeight="1">
      <c r="A150" s="188" t="s">
        <v>2289</v>
      </c>
      <c r="B150" s="191"/>
      <c r="C150" s="165" t="s">
        <v>2290</v>
      </c>
      <c r="D150" s="191"/>
      <c r="E150" s="191"/>
      <c r="F150" s="189" t="s">
        <v>2291</v>
      </c>
      <c r="G150" s="191"/>
      <c r="H150" s="191"/>
      <c r="I150" s="191"/>
      <c r="J150" s="191"/>
      <c r="K150" s="191"/>
      <c r="L150" s="191"/>
      <c r="M150" s="191"/>
      <c r="N150" s="191"/>
      <c r="O150" s="191"/>
      <c r="P150" s="191"/>
      <c r="Q150" s="191"/>
      <c r="R150" s="26"/>
      <c r="S150" s="191"/>
      <c r="T150" s="26"/>
      <c r="U150" s="26"/>
      <c r="V150" s="191"/>
      <c r="W150" s="191"/>
      <c r="X150" s="191"/>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65" t="s">
        <v>2290</v>
      </c>
      <c r="AT150" s="26" t="s">
        <v>2292</v>
      </c>
      <c r="AU150" s="198" t="s">
        <v>2293</v>
      </c>
      <c r="AV150" s="26" t="s">
        <v>75</v>
      </c>
      <c r="AW150" s="26" t="s">
        <v>2054</v>
      </c>
      <c r="AX150" s="154"/>
      <c r="AY150" s="155"/>
      <c r="AZ150" s="52"/>
    </row>
    <row r="151" ht="15.75" customHeight="1">
      <c r="A151" s="188" t="s">
        <v>2294</v>
      </c>
      <c r="B151" s="191"/>
      <c r="C151" s="165" t="s">
        <v>2295</v>
      </c>
      <c r="D151" s="191"/>
      <c r="E151" s="191"/>
      <c r="F151" s="189" t="s">
        <v>2296</v>
      </c>
      <c r="G151" s="191"/>
      <c r="H151" s="191"/>
      <c r="I151" s="191"/>
      <c r="J151" s="191"/>
      <c r="K151" s="191"/>
      <c r="L151" s="191"/>
      <c r="M151" s="191"/>
      <c r="N151" s="191"/>
      <c r="O151" s="191"/>
      <c r="P151" s="191"/>
      <c r="Q151" s="191"/>
      <c r="R151" s="26"/>
      <c r="S151" s="191"/>
      <c r="T151" s="26"/>
      <c r="U151" s="26"/>
      <c r="V151" s="191"/>
      <c r="W151" s="191"/>
      <c r="X151" s="191"/>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65" t="s">
        <v>2295</v>
      </c>
      <c r="AT151" s="26" t="s">
        <v>2297</v>
      </c>
      <c r="AU151" s="198" t="s">
        <v>2298</v>
      </c>
      <c r="AV151" s="26" t="s">
        <v>75</v>
      </c>
      <c r="AW151" s="26" t="s">
        <v>2054</v>
      </c>
      <c r="AX151" s="154"/>
      <c r="AY151" s="155"/>
      <c r="AZ151" s="52"/>
    </row>
    <row r="152" ht="15.75" customHeight="1">
      <c r="A152" s="188" t="s">
        <v>2299</v>
      </c>
      <c r="B152" s="191"/>
      <c r="C152" s="165" t="s">
        <v>2300</v>
      </c>
      <c r="D152" s="191"/>
      <c r="E152" s="191"/>
      <c r="F152" s="189" t="s">
        <v>2301</v>
      </c>
      <c r="G152" s="191"/>
      <c r="H152" s="191"/>
      <c r="I152" s="191"/>
      <c r="J152" s="191"/>
      <c r="K152" s="191"/>
      <c r="L152" s="191"/>
      <c r="M152" s="191"/>
      <c r="N152" s="191"/>
      <c r="O152" s="191"/>
      <c r="P152" s="191"/>
      <c r="Q152" s="191"/>
      <c r="R152" s="26"/>
      <c r="S152" s="191"/>
      <c r="T152" s="26"/>
      <c r="U152" s="26"/>
      <c r="V152" s="191"/>
      <c r="W152" s="191"/>
      <c r="X152" s="191"/>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65" t="s">
        <v>2300</v>
      </c>
      <c r="AT152" s="26" t="s">
        <v>2302</v>
      </c>
      <c r="AU152" s="192" t="s">
        <v>2303</v>
      </c>
      <c r="AV152" s="26" t="s">
        <v>75</v>
      </c>
      <c r="AW152" s="26" t="s">
        <v>2092</v>
      </c>
      <c r="AX152" s="154"/>
      <c r="AY152" s="155"/>
      <c r="AZ152" s="52"/>
    </row>
    <row r="153" ht="15.75" customHeight="1">
      <c r="A153" s="7"/>
      <c r="B153" s="52"/>
      <c r="C153" s="52"/>
      <c r="D153" s="52"/>
      <c r="E153" s="52"/>
      <c r="F153" s="199"/>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row>
    <row r="154" ht="15.75" customHeight="1">
      <c r="A154" s="7"/>
      <c r="B154" s="52"/>
      <c r="C154" s="52"/>
      <c r="D154" s="52"/>
      <c r="E154" s="52"/>
      <c r="F154" s="199"/>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row>
    <row r="155" ht="15.75" customHeight="1">
      <c r="A155" s="52"/>
      <c r="B155" s="52"/>
      <c r="C155" s="52"/>
      <c r="D155" s="199"/>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row>
    <row r="156" ht="15.75" customHeight="1">
      <c r="A156" s="52"/>
      <c r="B156" s="52"/>
      <c r="C156" s="52"/>
      <c r="D156" s="199"/>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row>
    <row r="157" ht="15.75" customHeight="1">
      <c r="A157" s="52"/>
      <c r="B157" s="52"/>
      <c r="C157" s="52"/>
      <c r="D157" s="199"/>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row>
    <row r="158" ht="15.75" customHeight="1">
      <c r="A158" s="7"/>
      <c r="B158" s="52"/>
      <c r="C158" s="52"/>
      <c r="D158" s="52"/>
      <c r="E158" s="52"/>
      <c r="F158" s="199"/>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row>
    <row r="159" ht="15.75" customHeight="1">
      <c r="A159" s="7"/>
      <c r="B159" s="52"/>
      <c r="C159" s="52"/>
      <c r="D159" s="52"/>
      <c r="E159" s="52"/>
      <c r="F159" s="199"/>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row>
    <row r="160" ht="15.75" customHeight="1">
      <c r="A160" s="7"/>
      <c r="B160" s="52"/>
      <c r="C160" s="52"/>
      <c r="D160" s="52"/>
      <c r="E160" s="52"/>
      <c r="F160" s="199"/>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row>
    <row r="161" ht="15.75" customHeight="1">
      <c r="A161" s="7"/>
      <c r="B161" s="52"/>
      <c r="C161" s="52"/>
      <c r="D161" s="52"/>
      <c r="E161" s="52"/>
      <c r="F161" s="199"/>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row>
    <row r="162" ht="15.75" customHeight="1">
      <c r="A162" s="7"/>
      <c r="B162" s="52"/>
      <c r="C162" s="52"/>
      <c r="D162" s="52"/>
      <c r="E162" s="52"/>
      <c r="F162" s="199"/>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row>
    <row r="163" ht="15.75" customHeight="1">
      <c r="A163" s="7"/>
      <c r="B163" s="52"/>
      <c r="C163" s="52"/>
      <c r="D163" s="52"/>
      <c r="E163" s="52"/>
      <c r="F163" s="199"/>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row>
    <row r="164" ht="15.75" customHeight="1">
      <c r="A164" s="7"/>
      <c r="B164" s="52"/>
      <c r="C164" s="52"/>
      <c r="D164" s="52"/>
      <c r="E164" s="52"/>
      <c r="F164" s="199"/>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row>
    <row r="165" ht="15.75" customHeight="1">
      <c r="A165" s="7"/>
      <c r="B165" s="52"/>
      <c r="C165" s="52"/>
      <c r="D165" s="52"/>
      <c r="E165" s="52"/>
      <c r="F165" s="199"/>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row>
    <row r="166" ht="15.75" customHeight="1">
      <c r="A166" s="7"/>
      <c r="B166" s="52"/>
      <c r="C166" s="52"/>
      <c r="D166" s="52"/>
      <c r="E166" s="52"/>
      <c r="F166" s="199"/>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row>
    <row r="167" ht="15.75" customHeight="1">
      <c r="A167" s="7"/>
      <c r="B167" s="52"/>
      <c r="C167" s="52"/>
      <c r="D167" s="52"/>
      <c r="E167" s="52"/>
      <c r="F167" s="199"/>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row>
    <row r="168" ht="15.75" customHeight="1">
      <c r="A168" s="7"/>
      <c r="B168" s="52"/>
      <c r="C168" s="52"/>
      <c r="D168" s="52"/>
      <c r="E168" s="52"/>
      <c r="F168" s="199"/>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row>
    <row r="169" ht="15.75" customHeight="1">
      <c r="A169" s="7"/>
      <c r="B169" s="52"/>
      <c r="C169" s="52"/>
      <c r="D169" s="52"/>
      <c r="E169" s="52"/>
      <c r="F169" s="199"/>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row>
    <row r="170" ht="15.75" customHeight="1">
      <c r="A170" s="7"/>
      <c r="B170" s="52"/>
      <c r="C170" s="52"/>
      <c r="D170" s="52"/>
      <c r="E170" s="52"/>
      <c r="F170" s="199"/>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row>
    <row r="171" ht="15.75" customHeight="1">
      <c r="A171" s="7"/>
      <c r="B171" s="52"/>
      <c r="C171" s="52"/>
      <c r="D171" s="52"/>
      <c r="E171" s="52"/>
      <c r="F171" s="199"/>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row>
    <row r="172" ht="15.75" customHeight="1">
      <c r="A172" s="7"/>
      <c r="B172" s="52"/>
      <c r="C172" s="52"/>
      <c r="D172" s="52"/>
      <c r="E172" s="52"/>
      <c r="F172" s="199"/>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row>
    <row r="173" ht="15.75" customHeight="1">
      <c r="A173" s="7"/>
      <c r="B173" s="52"/>
      <c r="C173" s="52"/>
      <c r="D173" s="52"/>
      <c r="E173" s="52"/>
      <c r="F173" s="199"/>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row>
    <row r="174" ht="15.75" customHeight="1">
      <c r="A174" s="7"/>
      <c r="B174" s="52"/>
      <c r="C174" s="52"/>
      <c r="D174" s="52"/>
      <c r="E174" s="52"/>
      <c r="F174" s="199"/>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row>
    <row r="175" ht="15.75" customHeight="1">
      <c r="A175" s="7"/>
      <c r="B175" s="52"/>
      <c r="C175" s="52"/>
      <c r="D175" s="52"/>
      <c r="E175" s="52"/>
      <c r="F175" s="199"/>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row>
    <row r="176" ht="15.75" customHeight="1">
      <c r="A176" s="7"/>
      <c r="B176" s="52"/>
      <c r="C176" s="52"/>
      <c r="D176" s="52"/>
      <c r="E176" s="52"/>
      <c r="F176" s="199"/>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row>
    <row r="177" ht="15.75" customHeight="1">
      <c r="A177" s="7"/>
      <c r="B177" s="52"/>
      <c r="C177" s="52"/>
      <c r="D177" s="52"/>
      <c r="E177" s="52"/>
      <c r="F177" s="199"/>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row>
    <row r="178" ht="15.75" customHeight="1">
      <c r="A178" s="7"/>
      <c r="B178" s="52"/>
      <c r="C178" s="52"/>
      <c r="D178" s="52"/>
      <c r="E178" s="52"/>
      <c r="F178" s="199"/>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row>
    <row r="179" ht="15.75" customHeight="1">
      <c r="A179" s="7"/>
      <c r="B179" s="52"/>
      <c r="C179" s="52"/>
      <c r="D179" s="52"/>
      <c r="E179" s="52"/>
      <c r="F179" s="199"/>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row>
    <row r="180" ht="15.75" customHeight="1">
      <c r="A180" s="7"/>
      <c r="B180" s="52"/>
      <c r="C180" s="52"/>
      <c r="D180" s="52"/>
      <c r="E180" s="52"/>
      <c r="F180" s="199"/>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row>
    <row r="181" ht="15.75" customHeight="1">
      <c r="A181" s="7"/>
      <c r="B181" s="52"/>
      <c r="C181" s="52"/>
      <c r="D181" s="52"/>
      <c r="E181" s="52"/>
      <c r="F181" s="199"/>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row>
    <row r="182" ht="15.75" customHeight="1">
      <c r="A182" s="7"/>
      <c r="B182" s="52"/>
      <c r="C182" s="52"/>
      <c r="D182" s="52"/>
      <c r="E182" s="52"/>
      <c r="F182" s="199"/>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row>
    <row r="183" ht="15.75" customHeight="1">
      <c r="A183" s="7"/>
      <c r="B183" s="52"/>
      <c r="C183" s="52"/>
      <c r="D183" s="52"/>
      <c r="E183" s="52"/>
      <c r="F183" s="199"/>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row>
    <row r="184" ht="15.75" customHeight="1">
      <c r="A184" s="7"/>
      <c r="B184" s="52"/>
      <c r="C184" s="52"/>
      <c r="D184" s="52"/>
      <c r="E184" s="52"/>
      <c r="F184" s="199"/>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row>
    <row r="185" ht="15.75" customHeight="1">
      <c r="A185" s="7"/>
      <c r="B185" s="52"/>
      <c r="C185" s="52"/>
      <c r="D185" s="52"/>
      <c r="E185" s="52"/>
      <c r="F185" s="199"/>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row>
    <row r="186" ht="15.75" customHeight="1">
      <c r="A186" s="7"/>
      <c r="B186" s="52"/>
      <c r="C186" s="52"/>
      <c r="D186" s="52"/>
      <c r="E186" s="52"/>
      <c r="F186" s="199"/>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row>
    <row r="187" ht="15.75" customHeight="1">
      <c r="A187" s="7"/>
      <c r="B187" s="52"/>
      <c r="C187" s="52"/>
      <c r="D187" s="52"/>
      <c r="E187" s="52"/>
      <c r="F187" s="199"/>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row>
    <row r="188" ht="15.75" customHeight="1">
      <c r="A188" s="7"/>
      <c r="B188" s="52"/>
      <c r="C188" s="52"/>
      <c r="D188" s="52"/>
      <c r="E188" s="52"/>
      <c r="F188" s="199"/>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row>
    <row r="189" ht="15.75" customHeight="1">
      <c r="A189" s="7"/>
      <c r="B189" s="52"/>
      <c r="C189" s="52"/>
      <c r="D189" s="52"/>
      <c r="E189" s="52"/>
      <c r="F189" s="199"/>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row>
    <row r="190" ht="15.75" customHeight="1">
      <c r="A190" s="7"/>
      <c r="B190" s="52"/>
      <c r="C190" s="52"/>
      <c r="D190" s="52"/>
      <c r="E190" s="52"/>
      <c r="F190" s="199"/>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row>
    <row r="191" ht="15.75" customHeight="1">
      <c r="A191" s="7"/>
      <c r="B191" s="52"/>
      <c r="C191" s="52"/>
      <c r="D191" s="52"/>
      <c r="E191" s="52"/>
      <c r="F191" s="199"/>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row>
    <row r="192" ht="15.75" customHeight="1">
      <c r="A192" s="7"/>
      <c r="B192" s="52"/>
      <c r="C192" s="52"/>
      <c r="D192" s="52"/>
      <c r="E192" s="52"/>
      <c r="F192" s="199"/>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row>
    <row r="193" ht="15.75" customHeight="1">
      <c r="A193" s="7"/>
      <c r="B193" s="52"/>
      <c r="C193" s="52"/>
      <c r="D193" s="52"/>
      <c r="E193" s="52"/>
      <c r="F193" s="199"/>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row>
    <row r="194" ht="15.75" customHeight="1">
      <c r="A194" s="7"/>
      <c r="B194" s="52"/>
      <c r="C194" s="52"/>
      <c r="D194" s="52"/>
      <c r="E194" s="52"/>
      <c r="F194" s="199"/>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row>
    <row r="195" ht="15.75" customHeight="1">
      <c r="A195" s="7"/>
      <c r="B195" s="52"/>
      <c r="C195" s="52"/>
      <c r="D195" s="52"/>
      <c r="E195" s="52"/>
      <c r="F195" s="199"/>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row>
    <row r="196" ht="15.75" customHeight="1">
      <c r="A196" s="7"/>
      <c r="B196" s="52"/>
      <c r="C196" s="52"/>
      <c r="D196" s="52"/>
      <c r="E196" s="52"/>
      <c r="F196" s="199"/>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row>
    <row r="197" ht="15.75" customHeight="1">
      <c r="A197" s="7"/>
      <c r="B197" s="52"/>
      <c r="C197" s="52"/>
      <c r="D197" s="52"/>
      <c r="E197" s="52"/>
      <c r="F197" s="199"/>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row>
    <row r="198" ht="15.75" customHeight="1">
      <c r="A198" s="7"/>
      <c r="B198" s="52"/>
      <c r="C198" s="52"/>
      <c r="D198" s="52"/>
      <c r="E198" s="52"/>
      <c r="F198" s="199"/>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row>
    <row r="199" ht="15.75" customHeight="1">
      <c r="A199" s="7"/>
      <c r="B199" s="52"/>
      <c r="C199" s="52"/>
      <c r="D199" s="52"/>
      <c r="E199" s="52"/>
      <c r="F199" s="199"/>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row>
    <row r="200" ht="15.75" customHeight="1">
      <c r="A200" s="7"/>
      <c r="B200" s="52"/>
      <c r="C200" s="52"/>
      <c r="D200" s="52"/>
      <c r="E200" s="52"/>
      <c r="F200" s="199"/>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row>
    <row r="201" ht="15.75" customHeight="1">
      <c r="A201" s="7"/>
      <c r="B201" s="52"/>
      <c r="C201" s="52"/>
      <c r="D201" s="52"/>
      <c r="E201" s="52"/>
      <c r="F201" s="199"/>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row>
    <row r="202" ht="15.75" customHeight="1">
      <c r="A202" s="7"/>
      <c r="B202" s="52"/>
      <c r="C202" s="52"/>
      <c r="D202" s="52"/>
      <c r="E202" s="52"/>
      <c r="F202" s="199"/>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row>
    <row r="203" ht="15.75" customHeight="1">
      <c r="A203" s="7"/>
      <c r="B203" s="52"/>
      <c r="C203" s="52"/>
      <c r="D203" s="52"/>
      <c r="E203" s="52"/>
      <c r="F203" s="199"/>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row>
    <row r="204" ht="15.75" customHeight="1">
      <c r="A204" s="7"/>
      <c r="B204" s="52"/>
      <c r="C204" s="52"/>
      <c r="D204" s="52"/>
      <c r="E204" s="52"/>
      <c r="F204" s="199"/>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row>
    <row r="205" ht="15.75" customHeight="1">
      <c r="A205" s="7"/>
      <c r="B205" s="52"/>
      <c r="C205" s="52"/>
      <c r="D205" s="52"/>
      <c r="E205" s="52"/>
      <c r="F205" s="199"/>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row>
    <row r="206" ht="15.75" customHeight="1">
      <c r="A206" s="7"/>
      <c r="B206" s="52"/>
      <c r="C206" s="52"/>
      <c r="D206" s="52"/>
      <c r="E206" s="52"/>
      <c r="F206" s="199"/>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row>
    <row r="207" ht="15.75" customHeight="1">
      <c r="A207" s="7"/>
      <c r="B207" s="52"/>
      <c r="C207" s="52"/>
      <c r="D207" s="52"/>
      <c r="E207" s="52"/>
      <c r="F207" s="199"/>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row>
    <row r="208" ht="15.75" customHeight="1">
      <c r="A208" s="7"/>
      <c r="B208" s="52"/>
      <c r="C208" s="52"/>
      <c r="D208" s="52"/>
      <c r="E208" s="52"/>
      <c r="F208" s="199"/>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row>
    <row r="209" ht="15.75" customHeight="1">
      <c r="A209" s="7"/>
      <c r="B209" s="52"/>
      <c r="C209" s="52"/>
      <c r="D209" s="52"/>
      <c r="E209" s="52"/>
      <c r="F209" s="199"/>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row>
    <row r="210" ht="15.75" customHeight="1">
      <c r="A210" s="7"/>
      <c r="B210" s="52"/>
      <c r="C210" s="52"/>
      <c r="D210" s="52"/>
      <c r="E210" s="52"/>
      <c r="F210" s="199"/>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row>
    <row r="211" ht="15.75" customHeight="1">
      <c r="A211" s="7"/>
      <c r="B211" s="52"/>
      <c r="C211" s="52"/>
      <c r="D211" s="52"/>
      <c r="E211" s="52"/>
      <c r="F211" s="199"/>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row>
    <row r="212" ht="15.75" customHeight="1">
      <c r="A212" s="7"/>
      <c r="B212" s="52"/>
      <c r="C212" s="52"/>
      <c r="D212" s="52"/>
      <c r="E212" s="52"/>
      <c r="F212" s="199"/>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row>
    <row r="213" ht="15.75" customHeight="1">
      <c r="A213" s="7"/>
      <c r="B213" s="52"/>
      <c r="C213" s="52"/>
      <c r="D213" s="52"/>
      <c r="E213" s="52"/>
      <c r="F213" s="199"/>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row>
    <row r="214" ht="15.75" customHeight="1">
      <c r="A214" s="7"/>
      <c r="B214" s="52"/>
      <c r="C214" s="52"/>
      <c r="D214" s="52"/>
      <c r="E214" s="52"/>
      <c r="F214" s="199"/>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row>
    <row r="215" ht="15.75" customHeight="1">
      <c r="A215" s="7"/>
      <c r="B215" s="52"/>
      <c r="C215" s="52"/>
      <c r="D215" s="52"/>
      <c r="E215" s="52"/>
      <c r="F215" s="199"/>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row>
    <row r="216" ht="15.75" customHeight="1">
      <c r="A216" s="7"/>
      <c r="B216" s="52"/>
      <c r="C216" s="52"/>
      <c r="D216" s="52"/>
      <c r="E216" s="52"/>
      <c r="F216" s="199"/>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row>
    <row r="217" ht="15.75" customHeight="1">
      <c r="A217" s="7"/>
      <c r="B217" s="52"/>
      <c r="C217" s="52"/>
      <c r="D217" s="52"/>
      <c r="E217" s="52"/>
      <c r="F217" s="199"/>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row>
    <row r="218" ht="15.75" customHeight="1">
      <c r="A218" s="7"/>
      <c r="B218" s="52"/>
      <c r="C218" s="52"/>
      <c r="D218" s="52"/>
      <c r="E218" s="52"/>
      <c r="F218" s="199"/>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row>
    <row r="219" ht="15.75" customHeight="1">
      <c r="A219" s="7"/>
      <c r="B219" s="52"/>
      <c r="C219" s="52"/>
      <c r="D219" s="52"/>
      <c r="E219" s="52"/>
      <c r="F219" s="199"/>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row>
    <row r="220" ht="15.75" customHeight="1">
      <c r="A220" s="7"/>
      <c r="B220" s="52"/>
      <c r="C220" s="52"/>
      <c r="D220" s="52"/>
      <c r="E220" s="52"/>
      <c r="F220" s="199"/>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row>
    <row r="221" ht="15.75" customHeight="1">
      <c r="A221" s="7"/>
      <c r="B221" s="52"/>
      <c r="C221" s="52"/>
      <c r="D221" s="52"/>
      <c r="E221" s="52"/>
      <c r="F221" s="199"/>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row>
    <row r="222" ht="15.75" customHeight="1">
      <c r="A222" s="7"/>
      <c r="B222" s="52"/>
      <c r="C222" s="52"/>
      <c r="D222" s="52"/>
      <c r="E222" s="52"/>
      <c r="F222" s="199"/>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row>
    <row r="223" ht="15.75" customHeight="1">
      <c r="A223" s="7"/>
      <c r="B223" s="52"/>
      <c r="C223" s="52"/>
      <c r="D223" s="52"/>
      <c r="E223" s="52"/>
      <c r="F223" s="199"/>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row>
    <row r="224" ht="15.75" customHeight="1">
      <c r="A224" s="7"/>
      <c r="B224" s="52"/>
      <c r="C224" s="52"/>
      <c r="D224" s="52"/>
      <c r="E224" s="52"/>
      <c r="F224" s="199"/>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row>
    <row r="225" ht="15.75" customHeight="1">
      <c r="A225" s="7"/>
      <c r="B225" s="52"/>
      <c r="C225" s="52"/>
      <c r="D225" s="52"/>
      <c r="E225" s="52"/>
      <c r="F225" s="199"/>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row>
    <row r="226" ht="15.75" customHeight="1">
      <c r="A226" s="7"/>
      <c r="B226" s="52"/>
      <c r="C226" s="52"/>
      <c r="D226" s="52"/>
      <c r="E226" s="52"/>
      <c r="F226" s="199"/>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row>
    <row r="227" ht="15.75" customHeight="1">
      <c r="A227" s="7"/>
      <c r="B227" s="52"/>
      <c r="C227" s="52"/>
      <c r="D227" s="52"/>
      <c r="E227" s="52"/>
      <c r="F227" s="199"/>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row>
    <row r="228" ht="15.75" customHeight="1">
      <c r="A228" s="7"/>
      <c r="B228" s="52"/>
      <c r="C228" s="52"/>
      <c r="D228" s="52"/>
      <c r="E228" s="52"/>
      <c r="F228" s="199"/>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row>
    <row r="229" ht="15.75" customHeight="1">
      <c r="A229" s="7"/>
      <c r="B229" s="52"/>
      <c r="C229" s="52"/>
      <c r="D229" s="52"/>
      <c r="E229" s="52"/>
      <c r="F229" s="199"/>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row>
    <row r="230" ht="15.75" customHeight="1">
      <c r="A230" s="7"/>
      <c r="B230" s="52"/>
      <c r="C230" s="52"/>
      <c r="D230" s="52"/>
      <c r="E230" s="52"/>
      <c r="F230" s="199"/>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row>
    <row r="231" ht="15.75" customHeight="1">
      <c r="A231" s="7"/>
      <c r="B231" s="52"/>
      <c r="C231" s="52"/>
      <c r="D231" s="52"/>
      <c r="E231" s="52"/>
      <c r="F231" s="199"/>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row>
    <row r="232" ht="15.75" customHeight="1">
      <c r="A232" s="7"/>
      <c r="B232" s="52"/>
      <c r="C232" s="52"/>
      <c r="D232" s="52"/>
      <c r="E232" s="52"/>
      <c r="F232" s="199"/>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row>
    <row r="233" ht="15.75" customHeight="1">
      <c r="A233" s="7"/>
      <c r="B233" s="52"/>
      <c r="C233" s="52"/>
      <c r="D233" s="52"/>
      <c r="E233" s="52"/>
      <c r="F233" s="199"/>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row>
    <row r="234" ht="15.75" customHeight="1">
      <c r="A234" s="7"/>
      <c r="B234" s="52"/>
      <c r="C234" s="52"/>
      <c r="D234" s="52"/>
      <c r="E234" s="52"/>
      <c r="F234" s="199"/>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row>
    <row r="235" ht="15.75" customHeight="1">
      <c r="A235" s="7"/>
      <c r="B235" s="52"/>
      <c r="C235" s="52"/>
      <c r="D235" s="52"/>
      <c r="E235" s="52"/>
      <c r="F235" s="199"/>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row>
    <row r="236" ht="15.75" customHeight="1">
      <c r="A236" s="7"/>
      <c r="B236" s="52"/>
      <c r="C236" s="52"/>
      <c r="D236" s="52"/>
      <c r="E236" s="52"/>
      <c r="F236" s="199"/>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row>
    <row r="237" ht="15.75" customHeight="1">
      <c r="A237" s="7"/>
      <c r="B237" s="52"/>
      <c r="C237" s="52"/>
      <c r="D237" s="52"/>
      <c r="E237" s="52"/>
      <c r="F237" s="199"/>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row>
    <row r="238" ht="15.75" customHeight="1">
      <c r="A238" s="7"/>
      <c r="B238" s="52"/>
      <c r="C238" s="52"/>
      <c r="D238" s="52"/>
      <c r="E238" s="52"/>
      <c r="F238" s="199"/>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row>
    <row r="239" ht="15.75" customHeight="1">
      <c r="A239" s="7"/>
      <c r="B239" s="52"/>
      <c r="C239" s="52"/>
      <c r="D239" s="52"/>
      <c r="E239" s="52"/>
      <c r="F239" s="199"/>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row>
    <row r="240" ht="15.75" customHeight="1">
      <c r="A240" s="7"/>
      <c r="B240" s="52"/>
      <c r="C240" s="52"/>
      <c r="D240" s="52"/>
      <c r="E240" s="52"/>
      <c r="F240" s="199"/>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row>
    <row r="241" ht="15.75" customHeight="1">
      <c r="A241" s="7"/>
      <c r="B241" s="52"/>
      <c r="C241" s="52"/>
      <c r="D241" s="52"/>
      <c r="E241" s="52"/>
      <c r="F241" s="199"/>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row>
    <row r="242" ht="15.75" customHeight="1">
      <c r="A242" s="7"/>
      <c r="B242" s="52"/>
      <c r="C242" s="52"/>
      <c r="D242" s="52"/>
      <c r="E242" s="52"/>
      <c r="F242" s="199"/>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row>
    <row r="243" ht="15.75" customHeight="1">
      <c r="A243" s="7"/>
      <c r="B243" s="52"/>
      <c r="C243" s="52"/>
      <c r="D243" s="52"/>
      <c r="E243" s="52"/>
      <c r="F243" s="199"/>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row>
    <row r="244" ht="15.75" customHeight="1">
      <c r="A244" s="7"/>
      <c r="B244" s="52"/>
      <c r="C244" s="52"/>
      <c r="D244" s="52"/>
      <c r="E244" s="52"/>
      <c r="F244" s="199"/>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row>
    <row r="245" ht="15.75" customHeight="1">
      <c r="A245" s="7"/>
      <c r="B245" s="52"/>
      <c r="C245" s="52"/>
      <c r="D245" s="52"/>
      <c r="E245" s="52"/>
      <c r="F245" s="199"/>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row>
    <row r="246" ht="15.75" customHeight="1">
      <c r="A246" s="7"/>
      <c r="B246" s="52"/>
      <c r="C246" s="52"/>
      <c r="D246" s="52"/>
      <c r="E246" s="52"/>
      <c r="F246" s="199"/>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row>
    <row r="247" ht="15.75" customHeight="1">
      <c r="A247" s="7"/>
      <c r="B247" s="52"/>
      <c r="C247" s="52"/>
      <c r="D247" s="52"/>
      <c r="E247" s="52"/>
      <c r="F247" s="199"/>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row>
    <row r="248" ht="15.75" customHeight="1">
      <c r="A248" s="7"/>
      <c r="B248" s="52"/>
      <c r="C248" s="52"/>
      <c r="D248" s="52"/>
      <c r="E248" s="52"/>
      <c r="F248" s="199"/>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row>
    <row r="249" ht="15.75" customHeight="1">
      <c r="A249" s="7"/>
      <c r="B249" s="52"/>
      <c r="C249" s="52"/>
      <c r="D249" s="52"/>
      <c r="E249" s="52"/>
      <c r="F249" s="199"/>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row>
    <row r="250" ht="15.75" customHeight="1">
      <c r="A250" s="7"/>
      <c r="B250" s="52"/>
      <c r="C250" s="52"/>
      <c r="D250" s="52"/>
      <c r="E250" s="52"/>
      <c r="F250" s="199"/>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row>
    <row r="251" ht="15.75" customHeight="1">
      <c r="A251" s="7"/>
      <c r="B251" s="52"/>
      <c r="C251" s="52"/>
      <c r="D251" s="52"/>
      <c r="E251" s="52"/>
      <c r="F251" s="199"/>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row>
    <row r="252" ht="15.75" customHeight="1">
      <c r="A252" s="7"/>
      <c r="B252" s="52"/>
      <c r="C252" s="52"/>
      <c r="D252" s="52"/>
      <c r="E252" s="52"/>
      <c r="F252" s="199"/>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row>
    <row r="253" ht="15.75" customHeight="1">
      <c r="A253" s="7"/>
      <c r="B253" s="52"/>
      <c r="C253" s="52"/>
      <c r="D253" s="52"/>
      <c r="E253" s="52"/>
      <c r="F253" s="199"/>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row>
    <row r="254" ht="15.75" customHeight="1">
      <c r="A254" s="7"/>
      <c r="B254" s="52"/>
      <c r="C254" s="52"/>
      <c r="D254" s="52"/>
      <c r="E254" s="52"/>
      <c r="F254" s="199"/>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row>
    <row r="255" ht="15.75" customHeight="1">
      <c r="A255" s="7"/>
      <c r="B255" s="52"/>
      <c r="C255" s="52"/>
      <c r="D255" s="52"/>
      <c r="E255" s="52"/>
      <c r="F255" s="199"/>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row>
    <row r="256" ht="15.75" customHeight="1">
      <c r="A256" s="7"/>
      <c r="B256" s="52"/>
      <c r="C256" s="52"/>
      <c r="D256" s="52"/>
      <c r="E256" s="52"/>
      <c r="F256" s="199"/>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row>
    <row r="257" ht="15.75" customHeight="1">
      <c r="A257" s="200"/>
      <c r="B257" s="201"/>
      <c r="C257" s="201"/>
      <c r="D257" s="201"/>
      <c r="E257" s="201"/>
      <c r="F257" s="201"/>
      <c r="I257" s="201"/>
      <c r="N257" s="201"/>
      <c r="O257" s="201"/>
      <c r="S257" s="201"/>
      <c r="T257" s="201"/>
      <c r="AB257" s="201"/>
      <c r="AC257" s="201"/>
      <c r="AD257" s="201"/>
      <c r="AE257" s="201"/>
      <c r="AF257" s="201"/>
      <c r="AG257" s="201"/>
      <c r="AH257" s="201"/>
      <c r="AI257" s="201"/>
      <c r="AJ257" s="201"/>
      <c r="AN257" s="201"/>
      <c r="AP257" s="201"/>
      <c r="AT257" s="201"/>
      <c r="AU257" s="201"/>
    </row>
    <row r="258" ht="15.75" customHeight="1">
      <c r="A258" s="200"/>
      <c r="B258" s="201"/>
      <c r="C258" s="201"/>
      <c r="D258" s="201"/>
      <c r="E258" s="201"/>
      <c r="F258" s="201"/>
      <c r="I258" s="201"/>
      <c r="N258" s="201"/>
      <c r="O258" s="201"/>
      <c r="S258" s="201"/>
      <c r="T258" s="201"/>
      <c r="AB258" s="201"/>
      <c r="AC258" s="201"/>
      <c r="AD258" s="201"/>
      <c r="AE258" s="201"/>
      <c r="AF258" s="201"/>
      <c r="AG258" s="201"/>
      <c r="AH258" s="201"/>
      <c r="AI258" s="201"/>
      <c r="AJ258" s="201"/>
      <c r="AN258" s="201"/>
      <c r="AP258" s="201"/>
      <c r="AT258" s="201"/>
      <c r="AU258" s="201"/>
    </row>
    <row r="259" ht="15.75" customHeight="1">
      <c r="A259" s="200"/>
      <c r="B259" s="201"/>
      <c r="C259" s="201"/>
      <c r="D259" s="201"/>
      <c r="E259" s="201"/>
      <c r="F259" s="201"/>
      <c r="I259" s="201"/>
      <c r="N259" s="201"/>
      <c r="O259" s="201"/>
      <c r="S259" s="201"/>
      <c r="T259" s="201"/>
      <c r="AB259" s="201"/>
      <c r="AC259" s="201"/>
      <c r="AD259" s="201"/>
      <c r="AE259" s="201"/>
      <c r="AF259" s="201"/>
      <c r="AG259" s="201"/>
      <c r="AH259" s="201"/>
      <c r="AI259" s="201"/>
      <c r="AJ259" s="201"/>
      <c r="AN259" s="201"/>
      <c r="AP259" s="201"/>
      <c r="AT259" s="201"/>
      <c r="AU259" s="201"/>
    </row>
    <row r="260" ht="15.75" customHeight="1">
      <c r="A260" s="200"/>
      <c r="B260" s="201"/>
      <c r="C260" s="201"/>
      <c r="D260" s="201"/>
      <c r="E260" s="201"/>
      <c r="F260" s="201"/>
      <c r="I260" s="201"/>
      <c r="N260" s="201"/>
      <c r="O260" s="201"/>
      <c r="S260" s="201"/>
      <c r="T260" s="201"/>
      <c r="AB260" s="201"/>
      <c r="AC260" s="201"/>
      <c r="AD260" s="201"/>
      <c r="AE260" s="201"/>
      <c r="AF260" s="201"/>
      <c r="AG260" s="201"/>
      <c r="AH260" s="201"/>
      <c r="AI260" s="201"/>
      <c r="AJ260" s="201"/>
      <c r="AN260" s="201"/>
      <c r="AP260" s="201"/>
      <c r="AT260" s="201"/>
      <c r="AU260" s="201"/>
    </row>
    <row r="261" ht="15.75" customHeight="1">
      <c r="A261" s="200"/>
      <c r="B261" s="201"/>
      <c r="C261" s="201"/>
      <c r="D261" s="201"/>
      <c r="E261" s="201"/>
      <c r="F261" s="201"/>
      <c r="I261" s="201"/>
      <c r="N261" s="201"/>
      <c r="O261" s="201"/>
      <c r="S261" s="201"/>
      <c r="T261" s="201"/>
      <c r="AB261" s="201"/>
      <c r="AC261" s="201"/>
      <c r="AD261" s="201"/>
      <c r="AE261" s="201"/>
      <c r="AF261" s="201"/>
      <c r="AG261" s="201"/>
      <c r="AH261" s="201"/>
      <c r="AI261" s="201"/>
      <c r="AJ261" s="201"/>
      <c r="AN261" s="201"/>
      <c r="AP261" s="201"/>
      <c r="AT261" s="201"/>
      <c r="AU261" s="201"/>
    </row>
    <row r="262" ht="15.75" customHeight="1">
      <c r="A262" s="200"/>
      <c r="B262" s="201"/>
      <c r="C262" s="201"/>
      <c r="D262" s="201"/>
      <c r="E262" s="201"/>
      <c r="F262" s="201"/>
      <c r="I262" s="201"/>
      <c r="N262" s="201"/>
      <c r="O262" s="201"/>
      <c r="S262" s="201"/>
      <c r="T262" s="201"/>
      <c r="AB262" s="201"/>
      <c r="AC262" s="201"/>
      <c r="AD262" s="201"/>
      <c r="AE262" s="201"/>
      <c r="AF262" s="201"/>
      <c r="AG262" s="201"/>
      <c r="AH262" s="201"/>
      <c r="AI262" s="201"/>
      <c r="AJ262" s="201"/>
      <c r="AN262" s="201"/>
      <c r="AP262" s="201"/>
      <c r="AT262" s="201"/>
      <c r="AU262" s="201"/>
    </row>
    <row r="263" ht="15.75" customHeight="1">
      <c r="A263" s="200"/>
      <c r="B263" s="201"/>
      <c r="C263" s="201"/>
      <c r="D263" s="201"/>
      <c r="E263" s="201"/>
      <c r="F263" s="201"/>
      <c r="I263" s="201"/>
      <c r="N263" s="201"/>
      <c r="O263" s="201"/>
      <c r="S263" s="201"/>
      <c r="T263" s="201"/>
      <c r="AB263" s="201"/>
      <c r="AC263" s="201"/>
      <c r="AD263" s="201"/>
      <c r="AE263" s="201"/>
      <c r="AF263" s="201"/>
      <c r="AG263" s="201"/>
      <c r="AH263" s="201"/>
      <c r="AI263" s="201"/>
      <c r="AJ263" s="201"/>
      <c r="AN263" s="201"/>
      <c r="AP263" s="201"/>
      <c r="AT263" s="201"/>
      <c r="AU263" s="201"/>
    </row>
    <row r="264" ht="15.75" customHeight="1">
      <c r="A264" s="200"/>
      <c r="B264" s="201"/>
      <c r="C264" s="201"/>
      <c r="D264" s="201"/>
      <c r="E264" s="201"/>
      <c r="F264" s="201"/>
      <c r="I264" s="201"/>
      <c r="N264" s="201"/>
      <c r="O264" s="201"/>
      <c r="S264" s="201"/>
      <c r="T264" s="201"/>
      <c r="AB264" s="201"/>
      <c r="AC264" s="201"/>
      <c r="AD264" s="201"/>
      <c r="AE264" s="201"/>
      <c r="AF264" s="201"/>
      <c r="AG264" s="201"/>
      <c r="AH264" s="201"/>
      <c r="AI264" s="201"/>
      <c r="AJ264" s="201"/>
      <c r="AN264" s="201"/>
      <c r="AP264" s="201"/>
      <c r="AT264" s="201"/>
      <c r="AU264" s="201"/>
    </row>
    <row r="265" ht="15.75" customHeight="1">
      <c r="A265" s="200"/>
      <c r="B265" s="201"/>
      <c r="C265" s="201"/>
      <c r="D265" s="201"/>
      <c r="E265" s="201"/>
      <c r="F265" s="201"/>
      <c r="I265" s="201"/>
      <c r="N265" s="201"/>
      <c r="O265" s="201"/>
      <c r="S265" s="201"/>
      <c r="T265" s="201"/>
      <c r="AB265" s="201"/>
      <c r="AC265" s="201"/>
      <c r="AD265" s="201"/>
      <c r="AE265" s="201"/>
      <c r="AF265" s="201"/>
      <c r="AG265" s="201"/>
      <c r="AH265" s="201"/>
      <c r="AI265" s="201"/>
      <c r="AJ265" s="201"/>
      <c r="AN265" s="201"/>
      <c r="AP265" s="201"/>
      <c r="AT265" s="201"/>
      <c r="AU265" s="201"/>
    </row>
    <row r="266" ht="15.75" customHeight="1">
      <c r="A266" s="200"/>
      <c r="B266" s="201"/>
      <c r="C266" s="201"/>
      <c r="D266" s="201"/>
      <c r="E266" s="201"/>
      <c r="F266" s="201"/>
      <c r="I266" s="201"/>
      <c r="N266" s="201"/>
      <c r="O266" s="201"/>
      <c r="S266" s="201"/>
      <c r="T266" s="201"/>
      <c r="AB266" s="201"/>
      <c r="AC266" s="201"/>
      <c r="AD266" s="201"/>
      <c r="AE266" s="201"/>
      <c r="AF266" s="201"/>
      <c r="AG266" s="201"/>
      <c r="AH266" s="201"/>
      <c r="AI266" s="201"/>
      <c r="AJ266" s="201"/>
      <c r="AN266" s="201"/>
      <c r="AP266" s="201"/>
      <c r="AT266" s="201"/>
      <c r="AU266" s="201"/>
    </row>
    <row r="267" ht="15.75" customHeight="1">
      <c r="A267" s="200"/>
      <c r="B267" s="201"/>
      <c r="C267" s="201"/>
      <c r="D267" s="201"/>
      <c r="E267" s="201"/>
      <c r="F267" s="201"/>
      <c r="I267" s="201"/>
      <c r="N267" s="201"/>
      <c r="O267" s="201"/>
      <c r="S267" s="201"/>
      <c r="T267" s="201"/>
      <c r="AB267" s="201"/>
      <c r="AC267" s="201"/>
      <c r="AD267" s="201"/>
      <c r="AE267" s="201"/>
      <c r="AF267" s="201"/>
      <c r="AG267" s="201"/>
      <c r="AH267" s="201"/>
      <c r="AI267" s="201"/>
      <c r="AJ267" s="201"/>
      <c r="AN267" s="201"/>
      <c r="AP267" s="201"/>
      <c r="AT267" s="201"/>
      <c r="AU267" s="201"/>
    </row>
    <row r="268" ht="15.75" customHeight="1">
      <c r="A268" s="200"/>
      <c r="B268" s="201"/>
      <c r="C268" s="201"/>
      <c r="D268" s="201"/>
      <c r="E268" s="201"/>
      <c r="F268" s="201"/>
      <c r="I268" s="201"/>
      <c r="N268" s="201"/>
      <c r="O268" s="201"/>
      <c r="S268" s="201"/>
      <c r="T268" s="201"/>
      <c r="AB268" s="201"/>
      <c r="AC268" s="201"/>
      <c r="AD268" s="201"/>
      <c r="AE268" s="201"/>
      <c r="AF268" s="201"/>
      <c r="AG268" s="201"/>
      <c r="AH268" s="201"/>
      <c r="AI268" s="201"/>
      <c r="AJ268" s="201"/>
      <c r="AN268" s="201"/>
      <c r="AP268" s="201"/>
      <c r="AT268" s="201"/>
      <c r="AU268" s="201"/>
    </row>
    <row r="269" ht="15.75" customHeight="1">
      <c r="A269" s="200"/>
      <c r="B269" s="201"/>
      <c r="C269" s="201"/>
      <c r="D269" s="201"/>
      <c r="E269" s="201"/>
      <c r="F269" s="201"/>
      <c r="I269" s="201"/>
      <c r="N269" s="201"/>
      <c r="O269" s="201"/>
      <c r="S269" s="201"/>
      <c r="T269" s="201"/>
      <c r="AB269" s="201"/>
      <c r="AC269" s="201"/>
      <c r="AD269" s="201"/>
      <c r="AE269" s="201"/>
      <c r="AF269" s="201"/>
      <c r="AG269" s="201"/>
      <c r="AH269" s="201"/>
      <c r="AI269" s="201"/>
      <c r="AJ269" s="201"/>
      <c r="AN269" s="201"/>
      <c r="AP269" s="201"/>
      <c r="AT269" s="201"/>
      <c r="AU269" s="201"/>
    </row>
    <row r="270" ht="15.75" customHeight="1">
      <c r="A270" s="200"/>
      <c r="B270" s="201"/>
      <c r="C270" s="201"/>
      <c r="D270" s="201"/>
      <c r="E270" s="201"/>
      <c r="F270" s="201"/>
      <c r="I270" s="201"/>
      <c r="N270" s="201"/>
      <c r="O270" s="201"/>
      <c r="S270" s="201"/>
      <c r="T270" s="201"/>
      <c r="AB270" s="201"/>
      <c r="AC270" s="201"/>
      <c r="AD270" s="201"/>
      <c r="AE270" s="201"/>
      <c r="AF270" s="201"/>
      <c r="AG270" s="201"/>
      <c r="AH270" s="201"/>
      <c r="AI270" s="201"/>
      <c r="AJ270" s="201"/>
      <c r="AN270" s="201"/>
      <c r="AP270" s="201"/>
      <c r="AT270" s="201"/>
      <c r="AU270" s="201"/>
    </row>
    <row r="271" ht="15.75" customHeight="1">
      <c r="A271" s="200"/>
      <c r="B271" s="201"/>
      <c r="C271" s="201"/>
      <c r="D271" s="201"/>
      <c r="E271" s="201"/>
      <c r="F271" s="201"/>
      <c r="I271" s="201"/>
      <c r="N271" s="201"/>
      <c r="O271" s="201"/>
      <c r="S271" s="201"/>
      <c r="T271" s="201"/>
      <c r="AB271" s="201"/>
      <c r="AC271" s="201"/>
      <c r="AD271" s="201"/>
      <c r="AE271" s="201"/>
      <c r="AF271" s="201"/>
      <c r="AG271" s="201"/>
      <c r="AH271" s="201"/>
      <c r="AI271" s="201"/>
      <c r="AJ271" s="201"/>
      <c r="AN271" s="201"/>
      <c r="AP271" s="201"/>
      <c r="AT271" s="201"/>
      <c r="AU271" s="201"/>
    </row>
    <row r="272" ht="15.75" customHeight="1">
      <c r="A272" s="200"/>
      <c r="B272" s="201"/>
      <c r="C272" s="201"/>
      <c r="D272" s="201"/>
      <c r="E272" s="201"/>
      <c r="F272" s="201"/>
      <c r="I272" s="201"/>
      <c r="N272" s="201"/>
      <c r="O272" s="201"/>
      <c r="S272" s="201"/>
      <c r="T272" s="201"/>
      <c r="AB272" s="201"/>
      <c r="AC272" s="201"/>
      <c r="AD272" s="201"/>
      <c r="AE272" s="201"/>
      <c r="AF272" s="201"/>
      <c r="AG272" s="201"/>
      <c r="AH272" s="201"/>
      <c r="AI272" s="201"/>
      <c r="AJ272" s="201"/>
      <c r="AN272" s="201"/>
      <c r="AP272" s="201"/>
      <c r="AT272" s="201"/>
      <c r="AU272" s="201"/>
    </row>
    <row r="273" ht="15.75" customHeight="1">
      <c r="A273" s="200"/>
      <c r="B273" s="201"/>
      <c r="C273" s="201"/>
      <c r="D273" s="201"/>
      <c r="E273" s="201"/>
      <c r="F273" s="201"/>
      <c r="I273" s="201"/>
      <c r="N273" s="201"/>
      <c r="O273" s="201"/>
      <c r="S273" s="201"/>
      <c r="T273" s="201"/>
      <c r="AB273" s="201"/>
      <c r="AC273" s="201"/>
      <c r="AD273" s="201"/>
      <c r="AE273" s="201"/>
      <c r="AF273" s="201"/>
      <c r="AG273" s="201"/>
      <c r="AH273" s="201"/>
      <c r="AI273" s="201"/>
      <c r="AJ273" s="201"/>
      <c r="AN273" s="201"/>
      <c r="AP273" s="201"/>
      <c r="AT273" s="201"/>
      <c r="AU273" s="201"/>
    </row>
    <row r="274" ht="15.75" customHeight="1">
      <c r="A274" s="200"/>
      <c r="B274" s="201"/>
      <c r="C274" s="201"/>
      <c r="D274" s="201"/>
      <c r="E274" s="201"/>
      <c r="F274" s="201"/>
      <c r="I274" s="201"/>
      <c r="N274" s="201"/>
      <c r="O274" s="201"/>
      <c r="S274" s="201"/>
      <c r="T274" s="201"/>
      <c r="AB274" s="201"/>
      <c r="AC274" s="201"/>
      <c r="AD274" s="201"/>
      <c r="AE274" s="201"/>
      <c r="AF274" s="201"/>
      <c r="AG274" s="201"/>
      <c r="AH274" s="201"/>
      <c r="AI274" s="201"/>
      <c r="AJ274" s="201"/>
      <c r="AN274" s="201"/>
      <c r="AP274" s="201"/>
      <c r="AT274" s="201"/>
      <c r="AU274" s="201"/>
    </row>
    <row r="275" ht="15.75" customHeight="1">
      <c r="A275" s="200"/>
      <c r="B275" s="201"/>
      <c r="C275" s="201"/>
      <c r="D275" s="201"/>
      <c r="E275" s="201"/>
      <c r="F275" s="201"/>
      <c r="I275" s="201"/>
      <c r="N275" s="201"/>
      <c r="O275" s="201"/>
      <c r="S275" s="201"/>
      <c r="T275" s="201"/>
      <c r="AB275" s="201"/>
      <c r="AC275" s="201"/>
      <c r="AD275" s="201"/>
      <c r="AE275" s="201"/>
      <c r="AF275" s="201"/>
      <c r="AG275" s="201"/>
      <c r="AH275" s="201"/>
      <c r="AI275" s="201"/>
      <c r="AJ275" s="201"/>
      <c r="AN275" s="201"/>
      <c r="AP275" s="201"/>
      <c r="AT275" s="201"/>
      <c r="AU275" s="201"/>
    </row>
    <row r="276" ht="15.75" customHeight="1">
      <c r="A276" s="200"/>
      <c r="B276" s="201"/>
      <c r="C276" s="201"/>
      <c r="D276" s="201"/>
      <c r="E276" s="201"/>
      <c r="F276" s="201"/>
      <c r="I276" s="201"/>
      <c r="N276" s="201"/>
      <c r="O276" s="201"/>
      <c r="S276" s="201"/>
      <c r="T276" s="201"/>
      <c r="AB276" s="201"/>
      <c r="AC276" s="201"/>
      <c r="AD276" s="201"/>
      <c r="AE276" s="201"/>
      <c r="AF276" s="201"/>
      <c r="AG276" s="201"/>
      <c r="AH276" s="201"/>
      <c r="AI276" s="201"/>
      <c r="AJ276" s="201"/>
      <c r="AN276" s="201"/>
      <c r="AP276" s="201"/>
      <c r="AT276" s="201"/>
      <c r="AU276" s="201"/>
    </row>
    <row r="277" ht="15.75" customHeight="1">
      <c r="A277" s="200"/>
      <c r="B277" s="201"/>
      <c r="C277" s="201"/>
      <c r="D277" s="201"/>
      <c r="E277" s="201"/>
      <c r="F277" s="201"/>
      <c r="I277" s="201"/>
      <c r="N277" s="201"/>
      <c r="O277" s="201"/>
      <c r="S277" s="201"/>
      <c r="T277" s="201"/>
      <c r="AB277" s="201"/>
      <c r="AC277" s="201"/>
      <c r="AD277" s="201"/>
      <c r="AE277" s="201"/>
      <c r="AF277" s="201"/>
      <c r="AG277" s="201"/>
      <c r="AH277" s="201"/>
      <c r="AI277" s="201"/>
      <c r="AJ277" s="201"/>
      <c r="AN277" s="201"/>
      <c r="AP277" s="201"/>
      <c r="AT277" s="201"/>
      <c r="AU277" s="201"/>
    </row>
    <row r="278" ht="15.75" customHeight="1">
      <c r="A278" s="200"/>
      <c r="B278" s="201"/>
      <c r="C278" s="201"/>
      <c r="D278" s="201"/>
      <c r="E278" s="201"/>
      <c r="F278" s="201"/>
      <c r="I278" s="201"/>
      <c r="N278" s="201"/>
      <c r="O278" s="201"/>
      <c r="S278" s="201"/>
      <c r="T278" s="201"/>
      <c r="AB278" s="201"/>
      <c r="AC278" s="201"/>
      <c r="AD278" s="201"/>
      <c r="AE278" s="201"/>
      <c r="AF278" s="201"/>
      <c r="AG278" s="201"/>
      <c r="AH278" s="201"/>
      <c r="AI278" s="201"/>
      <c r="AJ278" s="201"/>
      <c r="AN278" s="201"/>
      <c r="AP278" s="201"/>
      <c r="AT278" s="201"/>
      <c r="AU278" s="201"/>
    </row>
    <row r="279" ht="15.75" customHeight="1">
      <c r="A279" s="200"/>
      <c r="B279" s="201"/>
      <c r="C279" s="201"/>
      <c r="D279" s="201"/>
      <c r="E279" s="201"/>
      <c r="F279" s="201"/>
      <c r="I279" s="201"/>
      <c r="N279" s="201"/>
      <c r="O279" s="201"/>
      <c r="S279" s="201"/>
      <c r="T279" s="201"/>
      <c r="AB279" s="201"/>
      <c r="AC279" s="201"/>
      <c r="AD279" s="201"/>
      <c r="AE279" s="201"/>
      <c r="AF279" s="201"/>
      <c r="AG279" s="201"/>
      <c r="AH279" s="201"/>
      <c r="AI279" s="201"/>
      <c r="AJ279" s="201"/>
      <c r="AN279" s="201"/>
      <c r="AP279" s="201"/>
      <c r="AT279" s="201"/>
      <c r="AU279" s="201"/>
    </row>
    <row r="280" ht="15.75" customHeight="1">
      <c r="A280" s="200"/>
      <c r="B280" s="201"/>
      <c r="C280" s="201"/>
      <c r="D280" s="201"/>
      <c r="E280" s="201"/>
      <c r="F280" s="201"/>
      <c r="I280" s="201"/>
      <c r="N280" s="201"/>
      <c r="O280" s="201"/>
      <c r="S280" s="201"/>
      <c r="T280" s="201"/>
      <c r="AB280" s="201"/>
      <c r="AC280" s="201"/>
      <c r="AD280" s="201"/>
      <c r="AE280" s="201"/>
      <c r="AF280" s="201"/>
      <c r="AG280" s="201"/>
      <c r="AH280" s="201"/>
      <c r="AI280" s="201"/>
      <c r="AJ280" s="201"/>
      <c r="AN280" s="201"/>
      <c r="AP280" s="201"/>
      <c r="AT280" s="201"/>
      <c r="AU280" s="201"/>
    </row>
    <row r="281" ht="15.75" customHeight="1">
      <c r="A281" s="200"/>
      <c r="B281" s="201"/>
      <c r="C281" s="201"/>
      <c r="D281" s="201"/>
      <c r="E281" s="201"/>
      <c r="F281" s="201"/>
      <c r="I281" s="201"/>
      <c r="N281" s="201"/>
      <c r="O281" s="201"/>
      <c r="S281" s="201"/>
      <c r="T281" s="201"/>
      <c r="AB281" s="201"/>
      <c r="AC281" s="201"/>
      <c r="AD281" s="201"/>
      <c r="AE281" s="201"/>
      <c r="AF281" s="201"/>
      <c r="AG281" s="201"/>
      <c r="AH281" s="201"/>
      <c r="AI281" s="201"/>
      <c r="AJ281" s="201"/>
      <c r="AN281" s="201"/>
      <c r="AP281" s="201"/>
      <c r="AT281" s="201"/>
      <c r="AU281" s="201"/>
    </row>
    <row r="282" ht="15.75" customHeight="1">
      <c r="A282" s="200"/>
      <c r="B282" s="201"/>
      <c r="C282" s="201"/>
      <c r="D282" s="201"/>
      <c r="E282" s="201"/>
      <c r="F282" s="201"/>
      <c r="I282" s="201"/>
      <c r="N282" s="201"/>
      <c r="O282" s="201"/>
      <c r="S282" s="201"/>
      <c r="T282" s="201"/>
      <c r="AB282" s="201"/>
      <c r="AC282" s="201"/>
      <c r="AD282" s="201"/>
      <c r="AE282" s="201"/>
      <c r="AF282" s="201"/>
      <c r="AG282" s="201"/>
      <c r="AH282" s="201"/>
      <c r="AI282" s="201"/>
      <c r="AJ282" s="201"/>
      <c r="AN282" s="201"/>
      <c r="AP282" s="201"/>
      <c r="AT282" s="201"/>
      <c r="AU282" s="201"/>
    </row>
    <row r="283" ht="15.75" customHeight="1">
      <c r="A283" s="200"/>
      <c r="B283" s="201"/>
      <c r="C283" s="201"/>
      <c r="D283" s="201"/>
      <c r="E283" s="201"/>
      <c r="F283" s="201"/>
      <c r="I283" s="201"/>
      <c r="N283" s="201"/>
      <c r="O283" s="201"/>
      <c r="S283" s="201"/>
      <c r="T283" s="201"/>
      <c r="AB283" s="201"/>
      <c r="AC283" s="201"/>
      <c r="AD283" s="201"/>
      <c r="AE283" s="201"/>
      <c r="AF283" s="201"/>
      <c r="AG283" s="201"/>
      <c r="AH283" s="201"/>
      <c r="AI283" s="201"/>
      <c r="AJ283" s="201"/>
      <c r="AN283" s="201"/>
      <c r="AP283" s="201"/>
      <c r="AT283" s="201"/>
      <c r="AU283" s="201"/>
    </row>
    <row r="284" ht="15.75" customHeight="1">
      <c r="A284" s="200"/>
      <c r="B284" s="201"/>
      <c r="C284" s="201"/>
      <c r="D284" s="201"/>
      <c r="E284" s="201"/>
      <c r="F284" s="201"/>
      <c r="I284" s="201"/>
      <c r="N284" s="201"/>
      <c r="O284" s="201"/>
      <c r="S284" s="201"/>
      <c r="T284" s="201"/>
      <c r="AB284" s="201"/>
      <c r="AC284" s="201"/>
      <c r="AD284" s="201"/>
      <c r="AE284" s="201"/>
      <c r="AF284" s="201"/>
      <c r="AG284" s="201"/>
      <c r="AH284" s="201"/>
      <c r="AI284" s="201"/>
      <c r="AJ284" s="201"/>
      <c r="AN284" s="201"/>
      <c r="AP284" s="201"/>
      <c r="AT284" s="201"/>
      <c r="AU284" s="201"/>
    </row>
    <row r="285" ht="15.75" customHeight="1">
      <c r="A285" s="200"/>
      <c r="B285" s="201"/>
      <c r="C285" s="201"/>
      <c r="D285" s="201"/>
      <c r="E285" s="201"/>
      <c r="F285" s="201"/>
      <c r="I285" s="201"/>
      <c r="N285" s="201"/>
      <c r="O285" s="201"/>
      <c r="S285" s="201"/>
      <c r="T285" s="201"/>
      <c r="AB285" s="201"/>
      <c r="AC285" s="201"/>
      <c r="AD285" s="201"/>
      <c r="AE285" s="201"/>
      <c r="AF285" s="201"/>
      <c r="AG285" s="201"/>
      <c r="AH285" s="201"/>
      <c r="AI285" s="201"/>
      <c r="AJ285" s="201"/>
      <c r="AN285" s="201"/>
      <c r="AP285" s="201"/>
      <c r="AT285" s="201"/>
      <c r="AU285" s="201"/>
    </row>
    <row r="286" ht="15.75" customHeight="1">
      <c r="A286" s="200"/>
      <c r="B286" s="201"/>
      <c r="C286" s="201"/>
      <c r="D286" s="201"/>
      <c r="E286" s="201"/>
      <c r="F286" s="201"/>
      <c r="I286" s="201"/>
      <c r="N286" s="201"/>
      <c r="O286" s="201"/>
      <c r="S286" s="201"/>
      <c r="T286" s="201"/>
      <c r="AB286" s="201"/>
      <c r="AC286" s="201"/>
      <c r="AD286" s="201"/>
      <c r="AE286" s="201"/>
      <c r="AF286" s="201"/>
      <c r="AG286" s="201"/>
      <c r="AH286" s="201"/>
      <c r="AI286" s="201"/>
      <c r="AJ286" s="201"/>
      <c r="AN286" s="201"/>
      <c r="AP286" s="201"/>
      <c r="AT286" s="201"/>
      <c r="AU286" s="201"/>
    </row>
    <row r="287" ht="15.75" customHeight="1">
      <c r="A287" s="200"/>
      <c r="B287" s="201"/>
      <c r="C287" s="201"/>
      <c r="D287" s="201"/>
      <c r="E287" s="201"/>
      <c r="F287" s="201"/>
      <c r="I287" s="201"/>
      <c r="N287" s="201"/>
      <c r="O287" s="201"/>
      <c r="S287" s="201"/>
      <c r="T287" s="201"/>
      <c r="AB287" s="201"/>
      <c r="AC287" s="201"/>
      <c r="AD287" s="201"/>
      <c r="AE287" s="201"/>
      <c r="AF287" s="201"/>
      <c r="AG287" s="201"/>
      <c r="AH287" s="201"/>
      <c r="AI287" s="201"/>
      <c r="AJ287" s="201"/>
      <c r="AN287" s="201"/>
      <c r="AP287" s="201"/>
      <c r="AT287" s="201"/>
      <c r="AU287" s="201"/>
    </row>
    <row r="288" ht="15.75" customHeight="1">
      <c r="A288" s="200"/>
      <c r="B288" s="201"/>
      <c r="C288" s="201"/>
      <c r="D288" s="201"/>
      <c r="E288" s="201"/>
      <c r="F288" s="201"/>
      <c r="I288" s="201"/>
      <c r="N288" s="201"/>
      <c r="O288" s="201"/>
      <c r="S288" s="201"/>
      <c r="T288" s="201"/>
      <c r="AB288" s="201"/>
      <c r="AC288" s="201"/>
      <c r="AD288" s="201"/>
      <c r="AE288" s="201"/>
      <c r="AF288" s="201"/>
      <c r="AG288" s="201"/>
      <c r="AH288" s="201"/>
      <c r="AI288" s="201"/>
      <c r="AJ288" s="201"/>
      <c r="AN288" s="201"/>
      <c r="AP288" s="201"/>
      <c r="AT288" s="201"/>
      <c r="AU288" s="201"/>
    </row>
    <row r="289" ht="15.75" customHeight="1">
      <c r="A289" s="200"/>
      <c r="B289" s="201"/>
      <c r="C289" s="201"/>
      <c r="D289" s="201"/>
      <c r="E289" s="201"/>
      <c r="F289" s="201"/>
      <c r="I289" s="201"/>
      <c r="N289" s="201"/>
      <c r="O289" s="201"/>
      <c r="S289" s="201"/>
      <c r="T289" s="201"/>
      <c r="AB289" s="201"/>
      <c r="AC289" s="201"/>
      <c r="AD289" s="201"/>
      <c r="AE289" s="201"/>
      <c r="AF289" s="201"/>
      <c r="AG289" s="201"/>
      <c r="AH289" s="201"/>
      <c r="AI289" s="201"/>
      <c r="AJ289" s="201"/>
      <c r="AN289" s="201"/>
      <c r="AP289" s="201"/>
      <c r="AT289" s="201"/>
      <c r="AU289" s="201"/>
    </row>
    <row r="290" ht="15.75" customHeight="1">
      <c r="A290" s="200"/>
      <c r="B290" s="201"/>
      <c r="C290" s="201"/>
      <c r="D290" s="201"/>
      <c r="E290" s="201"/>
      <c r="F290" s="201"/>
      <c r="I290" s="201"/>
      <c r="N290" s="201"/>
      <c r="O290" s="201"/>
      <c r="S290" s="201"/>
      <c r="T290" s="201"/>
      <c r="AB290" s="201"/>
      <c r="AC290" s="201"/>
      <c r="AD290" s="201"/>
      <c r="AE290" s="201"/>
      <c r="AF290" s="201"/>
      <c r="AG290" s="201"/>
      <c r="AH290" s="201"/>
      <c r="AI290" s="201"/>
      <c r="AJ290" s="201"/>
      <c r="AN290" s="201"/>
      <c r="AP290" s="201"/>
      <c r="AT290" s="201"/>
      <c r="AU290" s="201"/>
    </row>
    <row r="291" ht="15.75" customHeight="1">
      <c r="A291" s="200"/>
      <c r="B291" s="201"/>
      <c r="C291" s="201"/>
      <c r="D291" s="201"/>
      <c r="E291" s="201"/>
      <c r="F291" s="201"/>
      <c r="I291" s="201"/>
      <c r="N291" s="201"/>
      <c r="O291" s="201"/>
      <c r="S291" s="201"/>
      <c r="T291" s="201"/>
      <c r="AB291" s="201"/>
      <c r="AC291" s="201"/>
      <c r="AD291" s="201"/>
      <c r="AE291" s="201"/>
      <c r="AF291" s="201"/>
      <c r="AG291" s="201"/>
      <c r="AH291" s="201"/>
      <c r="AI291" s="201"/>
      <c r="AJ291" s="201"/>
      <c r="AN291" s="201"/>
      <c r="AP291" s="201"/>
      <c r="AT291" s="201"/>
      <c r="AU291" s="201"/>
    </row>
    <row r="292" ht="15.75" customHeight="1">
      <c r="A292" s="200"/>
      <c r="B292" s="201"/>
      <c r="C292" s="201"/>
      <c r="D292" s="201"/>
      <c r="E292" s="201"/>
      <c r="F292" s="201"/>
      <c r="I292" s="201"/>
      <c r="N292" s="201"/>
      <c r="O292" s="201"/>
      <c r="S292" s="201"/>
      <c r="T292" s="201"/>
      <c r="AB292" s="201"/>
      <c r="AC292" s="201"/>
      <c r="AD292" s="201"/>
      <c r="AE292" s="201"/>
      <c r="AF292" s="201"/>
      <c r="AG292" s="201"/>
      <c r="AH292" s="201"/>
      <c r="AI292" s="201"/>
      <c r="AJ292" s="201"/>
      <c r="AN292" s="201"/>
      <c r="AP292" s="201"/>
      <c r="AT292" s="201"/>
      <c r="AU292" s="201"/>
    </row>
    <row r="293" ht="15.75" customHeight="1">
      <c r="A293" s="200"/>
      <c r="B293" s="201"/>
      <c r="C293" s="201"/>
      <c r="D293" s="201"/>
      <c r="E293" s="201"/>
      <c r="F293" s="201"/>
      <c r="I293" s="201"/>
      <c r="N293" s="201"/>
      <c r="O293" s="201"/>
      <c r="S293" s="201"/>
      <c r="T293" s="201"/>
      <c r="AB293" s="201"/>
      <c r="AC293" s="201"/>
      <c r="AD293" s="201"/>
      <c r="AE293" s="201"/>
      <c r="AF293" s="201"/>
      <c r="AG293" s="201"/>
      <c r="AH293" s="201"/>
      <c r="AI293" s="201"/>
      <c r="AJ293" s="201"/>
      <c r="AN293" s="201"/>
      <c r="AP293" s="201"/>
      <c r="AT293" s="201"/>
      <c r="AU293" s="201"/>
    </row>
    <row r="294" ht="15.75" customHeight="1">
      <c r="A294" s="200"/>
      <c r="B294" s="201"/>
      <c r="C294" s="201"/>
      <c r="D294" s="201"/>
      <c r="E294" s="201"/>
      <c r="F294" s="201"/>
      <c r="I294" s="201"/>
      <c r="N294" s="201"/>
      <c r="O294" s="201"/>
      <c r="S294" s="201"/>
      <c r="T294" s="201"/>
      <c r="AB294" s="201"/>
      <c r="AC294" s="201"/>
      <c r="AD294" s="201"/>
      <c r="AE294" s="201"/>
      <c r="AF294" s="201"/>
      <c r="AG294" s="201"/>
      <c r="AH294" s="201"/>
      <c r="AI294" s="201"/>
      <c r="AJ294" s="201"/>
      <c r="AN294" s="201"/>
      <c r="AP294" s="201"/>
      <c r="AT294" s="201"/>
      <c r="AU294" s="201"/>
    </row>
    <row r="295" ht="15.75" customHeight="1">
      <c r="A295" s="200"/>
      <c r="B295" s="201"/>
      <c r="C295" s="201"/>
      <c r="D295" s="201"/>
      <c r="E295" s="201"/>
      <c r="F295" s="201"/>
      <c r="I295" s="201"/>
      <c r="N295" s="201"/>
      <c r="O295" s="201"/>
      <c r="S295" s="201"/>
      <c r="T295" s="201"/>
      <c r="AB295" s="201"/>
      <c r="AC295" s="201"/>
      <c r="AD295" s="201"/>
      <c r="AE295" s="201"/>
      <c r="AF295" s="201"/>
      <c r="AG295" s="201"/>
      <c r="AH295" s="201"/>
      <c r="AI295" s="201"/>
      <c r="AJ295" s="201"/>
      <c r="AN295" s="201"/>
      <c r="AP295" s="201"/>
      <c r="AT295" s="201"/>
      <c r="AU295" s="201"/>
    </row>
    <row r="296" ht="15.75" customHeight="1">
      <c r="A296" s="200"/>
      <c r="B296" s="201"/>
      <c r="C296" s="201"/>
      <c r="D296" s="201"/>
      <c r="E296" s="201"/>
      <c r="F296" s="201"/>
      <c r="I296" s="201"/>
      <c r="N296" s="201"/>
      <c r="O296" s="201"/>
      <c r="S296" s="201"/>
      <c r="T296" s="201"/>
      <c r="AB296" s="201"/>
      <c r="AC296" s="201"/>
      <c r="AD296" s="201"/>
      <c r="AE296" s="201"/>
      <c r="AF296" s="201"/>
      <c r="AG296" s="201"/>
      <c r="AH296" s="201"/>
      <c r="AI296" s="201"/>
      <c r="AJ296" s="201"/>
      <c r="AN296" s="201"/>
      <c r="AP296" s="201"/>
      <c r="AT296" s="201"/>
      <c r="AU296" s="201"/>
    </row>
    <row r="297" ht="15.75" customHeight="1">
      <c r="A297" s="200"/>
      <c r="B297" s="201"/>
      <c r="C297" s="201"/>
      <c r="D297" s="201"/>
      <c r="E297" s="201"/>
      <c r="F297" s="201"/>
      <c r="I297" s="201"/>
      <c r="N297" s="201"/>
      <c r="O297" s="201"/>
      <c r="S297" s="201"/>
      <c r="T297" s="201"/>
      <c r="AB297" s="201"/>
      <c r="AC297" s="201"/>
      <c r="AD297" s="201"/>
      <c r="AE297" s="201"/>
      <c r="AF297" s="201"/>
      <c r="AG297" s="201"/>
      <c r="AH297" s="201"/>
      <c r="AI297" s="201"/>
      <c r="AJ297" s="201"/>
      <c r="AN297" s="201"/>
      <c r="AP297" s="201"/>
      <c r="AT297" s="201"/>
      <c r="AU297" s="201"/>
    </row>
    <row r="298" ht="15.75" customHeight="1">
      <c r="A298" s="200"/>
      <c r="B298" s="201"/>
      <c r="C298" s="201"/>
      <c r="D298" s="201"/>
      <c r="E298" s="201"/>
      <c r="F298" s="201"/>
      <c r="I298" s="201"/>
      <c r="N298" s="201"/>
      <c r="O298" s="201"/>
      <c r="S298" s="201"/>
      <c r="T298" s="201"/>
      <c r="AB298" s="201"/>
      <c r="AC298" s="201"/>
      <c r="AD298" s="201"/>
      <c r="AE298" s="201"/>
      <c r="AF298" s="201"/>
      <c r="AG298" s="201"/>
      <c r="AH298" s="201"/>
      <c r="AI298" s="201"/>
      <c r="AJ298" s="201"/>
      <c r="AN298" s="201"/>
      <c r="AP298" s="201"/>
      <c r="AT298" s="201"/>
      <c r="AU298" s="201"/>
    </row>
    <row r="299" ht="15.75" customHeight="1">
      <c r="A299" s="200"/>
      <c r="B299" s="201"/>
      <c r="C299" s="201"/>
      <c r="D299" s="201"/>
      <c r="E299" s="201"/>
      <c r="F299" s="201"/>
      <c r="I299" s="201"/>
      <c r="N299" s="201"/>
      <c r="O299" s="201"/>
      <c r="S299" s="201"/>
      <c r="T299" s="201"/>
      <c r="AB299" s="201"/>
      <c r="AC299" s="201"/>
      <c r="AD299" s="201"/>
      <c r="AE299" s="201"/>
      <c r="AF299" s="201"/>
      <c r="AG299" s="201"/>
      <c r="AH299" s="201"/>
      <c r="AI299" s="201"/>
      <c r="AJ299" s="201"/>
      <c r="AN299" s="201"/>
      <c r="AP299" s="201"/>
      <c r="AT299" s="201"/>
      <c r="AU299" s="201"/>
    </row>
    <row r="300" ht="15.75" customHeight="1">
      <c r="A300" s="200"/>
      <c r="B300" s="201"/>
      <c r="C300" s="201"/>
      <c r="D300" s="201"/>
      <c r="E300" s="201"/>
      <c r="F300" s="201"/>
      <c r="I300" s="201"/>
      <c r="N300" s="201"/>
      <c r="O300" s="201"/>
      <c r="S300" s="201"/>
      <c r="T300" s="201"/>
      <c r="AB300" s="201"/>
      <c r="AC300" s="201"/>
      <c r="AD300" s="201"/>
      <c r="AE300" s="201"/>
      <c r="AF300" s="201"/>
      <c r="AG300" s="201"/>
      <c r="AH300" s="201"/>
      <c r="AI300" s="201"/>
      <c r="AJ300" s="201"/>
      <c r="AN300" s="201"/>
      <c r="AP300" s="201"/>
      <c r="AT300" s="201"/>
      <c r="AU300" s="201"/>
    </row>
    <row r="301" ht="15.75" customHeight="1">
      <c r="A301" s="200"/>
      <c r="B301" s="201"/>
      <c r="C301" s="201"/>
      <c r="D301" s="201"/>
      <c r="E301" s="201"/>
      <c r="F301" s="201"/>
      <c r="I301" s="201"/>
      <c r="N301" s="201"/>
      <c r="O301" s="201"/>
      <c r="S301" s="201"/>
      <c r="T301" s="201"/>
      <c r="AB301" s="201"/>
      <c r="AC301" s="201"/>
      <c r="AD301" s="201"/>
      <c r="AE301" s="201"/>
      <c r="AF301" s="201"/>
      <c r="AG301" s="201"/>
      <c r="AH301" s="201"/>
      <c r="AI301" s="201"/>
      <c r="AJ301" s="201"/>
      <c r="AN301" s="201"/>
      <c r="AP301" s="201"/>
      <c r="AT301" s="201"/>
      <c r="AU301" s="201"/>
    </row>
    <row r="302" ht="15.75" customHeight="1">
      <c r="A302" s="200"/>
      <c r="B302" s="201"/>
      <c r="C302" s="201"/>
      <c r="D302" s="201"/>
      <c r="E302" s="201"/>
      <c r="F302" s="201"/>
      <c r="I302" s="201"/>
      <c r="N302" s="201"/>
      <c r="O302" s="201"/>
      <c r="S302" s="201"/>
      <c r="T302" s="201"/>
      <c r="AB302" s="201"/>
      <c r="AC302" s="201"/>
      <c r="AD302" s="201"/>
      <c r="AE302" s="201"/>
      <c r="AF302" s="201"/>
      <c r="AG302" s="201"/>
      <c r="AH302" s="201"/>
      <c r="AI302" s="201"/>
      <c r="AJ302" s="201"/>
      <c r="AN302" s="201"/>
      <c r="AP302" s="201"/>
      <c r="AT302" s="201"/>
      <c r="AU302" s="201"/>
    </row>
    <row r="303" ht="15.75" customHeight="1">
      <c r="A303" s="200"/>
      <c r="B303" s="201"/>
      <c r="C303" s="201"/>
      <c r="D303" s="201"/>
      <c r="E303" s="201"/>
      <c r="F303" s="201"/>
      <c r="I303" s="201"/>
      <c r="N303" s="201"/>
      <c r="O303" s="201"/>
      <c r="S303" s="201"/>
      <c r="T303" s="201"/>
      <c r="AB303" s="201"/>
      <c r="AC303" s="201"/>
      <c r="AD303" s="201"/>
      <c r="AE303" s="201"/>
      <c r="AF303" s="201"/>
      <c r="AG303" s="201"/>
      <c r="AH303" s="201"/>
      <c r="AI303" s="201"/>
      <c r="AJ303" s="201"/>
      <c r="AN303" s="201"/>
      <c r="AP303" s="201"/>
      <c r="AT303" s="201"/>
      <c r="AU303" s="201"/>
    </row>
    <row r="304" ht="15.75" customHeight="1">
      <c r="A304" s="200"/>
      <c r="B304" s="201"/>
      <c r="C304" s="201"/>
      <c r="D304" s="201"/>
      <c r="E304" s="201"/>
      <c r="F304" s="201"/>
      <c r="I304" s="201"/>
      <c r="N304" s="201"/>
      <c r="O304" s="201"/>
      <c r="S304" s="201"/>
      <c r="T304" s="201"/>
      <c r="AB304" s="201"/>
      <c r="AC304" s="201"/>
      <c r="AD304" s="201"/>
      <c r="AE304" s="201"/>
      <c r="AF304" s="201"/>
      <c r="AG304" s="201"/>
      <c r="AH304" s="201"/>
      <c r="AI304" s="201"/>
      <c r="AJ304" s="201"/>
      <c r="AN304" s="201"/>
      <c r="AP304" s="201"/>
      <c r="AT304" s="201"/>
      <c r="AU304" s="201"/>
    </row>
    <row r="305" ht="15.75" customHeight="1">
      <c r="A305" s="200"/>
      <c r="B305" s="201"/>
      <c r="C305" s="201"/>
      <c r="D305" s="201"/>
      <c r="E305" s="201"/>
      <c r="F305" s="201"/>
      <c r="I305" s="201"/>
      <c r="N305" s="201"/>
      <c r="O305" s="201"/>
      <c r="S305" s="201"/>
      <c r="T305" s="201"/>
      <c r="AB305" s="201"/>
      <c r="AC305" s="201"/>
      <c r="AD305" s="201"/>
      <c r="AE305" s="201"/>
      <c r="AF305" s="201"/>
      <c r="AG305" s="201"/>
      <c r="AH305" s="201"/>
      <c r="AI305" s="201"/>
      <c r="AJ305" s="201"/>
      <c r="AN305" s="201"/>
      <c r="AP305" s="201"/>
      <c r="AT305" s="201"/>
      <c r="AU305" s="201"/>
    </row>
    <row r="306" ht="15.75" customHeight="1">
      <c r="A306" s="200"/>
      <c r="B306" s="201"/>
      <c r="C306" s="201"/>
      <c r="D306" s="201"/>
      <c r="E306" s="201"/>
      <c r="F306" s="201"/>
      <c r="I306" s="201"/>
      <c r="N306" s="201"/>
      <c r="O306" s="201"/>
      <c r="S306" s="201"/>
      <c r="T306" s="201"/>
      <c r="AB306" s="201"/>
      <c r="AC306" s="201"/>
      <c r="AD306" s="201"/>
      <c r="AE306" s="201"/>
      <c r="AF306" s="201"/>
      <c r="AG306" s="201"/>
      <c r="AH306" s="201"/>
      <c r="AI306" s="201"/>
      <c r="AJ306" s="201"/>
      <c r="AN306" s="201"/>
      <c r="AP306" s="201"/>
      <c r="AT306" s="201"/>
      <c r="AU306" s="201"/>
    </row>
    <row r="307" ht="15.75" customHeight="1">
      <c r="A307" s="200"/>
      <c r="B307" s="201"/>
      <c r="C307" s="201"/>
      <c r="D307" s="201"/>
      <c r="E307" s="201"/>
      <c r="F307" s="201"/>
      <c r="I307" s="201"/>
      <c r="N307" s="201"/>
      <c r="O307" s="201"/>
      <c r="S307" s="201"/>
      <c r="T307" s="201"/>
      <c r="AB307" s="201"/>
      <c r="AC307" s="201"/>
      <c r="AD307" s="201"/>
      <c r="AE307" s="201"/>
      <c r="AF307" s="201"/>
      <c r="AG307" s="201"/>
      <c r="AH307" s="201"/>
      <c r="AI307" s="201"/>
      <c r="AJ307" s="201"/>
      <c r="AN307" s="201"/>
      <c r="AP307" s="201"/>
      <c r="AT307" s="201"/>
      <c r="AU307" s="201"/>
    </row>
    <row r="308" ht="15.75" customHeight="1">
      <c r="A308" s="200"/>
      <c r="B308" s="201"/>
      <c r="C308" s="201"/>
      <c r="D308" s="201"/>
      <c r="E308" s="201"/>
      <c r="F308" s="201"/>
      <c r="I308" s="201"/>
      <c r="N308" s="201"/>
      <c r="O308" s="201"/>
      <c r="S308" s="201"/>
      <c r="T308" s="201"/>
      <c r="AB308" s="201"/>
      <c r="AC308" s="201"/>
      <c r="AD308" s="201"/>
      <c r="AE308" s="201"/>
      <c r="AF308" s="201"/>
      <c r="AG308" s="201"/>
      <c r="AH308" s="201"/>
      <c r="AI308" s="201"/>
      <c r="AJ308" s="201"/>
      <c r="AN308" s="201"/>
      <c r="AP308" s="201"/>
      <c r="AT308" s="201"/>
      <c r="AU308" s="201"/>
    </row>
    <row r="309" ht="15.75" customHeight="1">
      <c r="A309" s="200"/>
      <c r="B309" s="201"/>
      <c r="C309" s="201"/>
      <c r="D309" s="201"/>
      <c r="E309" s="201"/>
      <c r="F309" s="201"/>
      <c r="I309" s="201"/>
      <c r="N309" s="201"/>
      <c r="O309" s="201"/>
      <c r="S309" s="201"/>
      <c r="T309" s="201"/>
      <c r="AB309" s="201"/>
      <c r="AC309" s="201"/>
      <c r="AD309" s="201"/>
      <c r="AE309" s="201"/>
      <c r="AF309" s="201"/>
      <c r="AG309" s="201"/>
      <c r="AH309" s="201"/>
      <c r="AI309" s="201"/>
      <c r="AJ309" s="201"/>
      <c r="AN309" s="201"/>
      <c r="AP309" s="201"/>
      <c r="AT309" s="201"/>
      <c r="AU309" s="201"/>
    </row>
    <row r="310" ht="15.75" customHeight="1">
      <c r="A310" s="200"/>
      <c r="B310" s="201"/>
      <c r="C310" s="201"/>
      <c r="D310" s="201"/>
      <c r="E310" s="201"/>
      <c r="F310" s="201"/>
      <c r="I310" s="201"/>
      <c r="N310" s="201"/>
      <c r="O310" s="201"/>
      <c r="S310" s="201"/>
      <c r="T310" s="201"/>
      <c r="AB310" s="201"/>
      <c r="AC310" s="201"/>
      <c r="AD310" s="201"/>
      <c r="AE310" s="201"/>
      <c r="AF310" s="201"/>
      <c r="AG310" s="201"/>
      <c r="AH310" s="201"/>
      <c r="AI310" s="201"/>
      <c r="AJ310" s="201"/>
      <c r="AN310" s="201"/>
      <c r="AP310" s="201"/>
      <c r="AT310" s="201"/>
      <c r="AU310" s="201"/>
    </row>
    <row r="311" ht="15.75" customHeight="1">
      <c r="A311" s="200"/>
      <c r="B311" s="201"/>
      <c r="C311" s="201"/>
      <c r="D311" s="201"/>
      <c r="E311" s="201"/>
      <c r="F311" s="201"/>
      <c r="I311" s="201"/>
      <c r="N311" s="201"/>
      <c r="O311" s="201"/>
      <c r="S311" s="201"/>
      <c r="T311" s="201"/>
      <c r="AB311" s="201"/>
      <c r="AC311" s="201"/>
      <c r="AD311" s="201"/>
      <c r="AE311" s="201"/>
      <c r="AF311" s="201"/>
      <c r="AG311" s="201"/>
      <c r="AH311" s="201"/>
      <c r="AI311" s="201"/>
      <c r="AJ311" s="201"/>
      <c r="AN311" s="201"/>
      <c r="AP311" s="201"/>
      <c r="AT311" s="201"/>
      <c r="AU311" s="201"/>
    </row>
    <row r="312" ht="15.75" customHeight="1">
      <c r="A312" s="200"/>
      <c r="B312" s="201"/>
      <c r="C312" s="201"/>
      <c r="D312" s="201"/>
      <c r="E312" s="201"/>
      <c r="F312" s="201"/>
      <c r="I312" s="201"/>
      <c r="N312" s="201"/>
      <c r="O312" s="201"/>
      <c r="S312" s="201"/>
      <c r="T312" s="201"/>
      <c r="AB312" s="201"/>
      <c r="AC312" s="201"/>
      <c r="AD312" s="201"/>
      <c r="AE312" s="201"/>
      <c r="AF312" s="201"/>
      <c r="AG312" s="201"/>
      <c r="AH312" s="201"/>
      <c r="AI312" s="201"/>
      <c r="AJ312" s="201"/>
      <c r="AN312" s="201"/>
      <c r="AP312" s="201"/>
      <c r="AT312" s="201"/>
      <c r="AU312" s="201"/>
    </row>
    <row r="313" ht="15.75" customHeight="1">
      <c r="A313" s="200"/>
      <c r="B313" s="201"/>
      <c r="C313" s="201"/>
      <c r="D313" s="201"/>
      <c r="E313" s="201"/>
      <c r="F313" s="201"/>
      <c r="I313" s="201"/>
      <c r="N313" s="201"/>
      <c r="O313" s="201"/>
      <c r="S313" s="201"/>
      <c r="T313" s="201"/>
      <c r="AB313" s="201"/>
      <c r="AC313" s="201"/>
      <c r="AD313" s="201"/>
      <c r="AE313" s="201"/>
      <c r="AF313" s="201"/>
      <c r="AG313" s="201"/>
      <c r="AH313" s="201"/>
      <c r="AI313" s="201"/>
      <c r="AJ313" s="201"/>
      <c r="AN313" s="201"/>
      <c r="AP313" s="201"/>
      <c r="AT313" s="201"/>
      <c r="AU313" s="201"/>
    </row>
    <row r="314" ht="15.75" customHeight="1">
      <c r="A314" s="200"/>
      <c r="B314" s="201"/>
      <c r="C314" s="201"/>
      <c r="D314" s="201"/>
      <c r="E314" s="201"/>
      <c r="F314" s="201"/>
      <c r="I314" s="201"/>
      <c r="N314" s="201"/>
      <c r="O314" s="201"/>
      <c r="S314" s="201"/>
      <c r="T314" s="201"/>
      <c r="AB314" s="201"/>
      <c r="AC314" s="201"/>
      <c r="AD314" s="201"/>
      <c r="AE314" s="201"/>
      <c r="AF314" s="201"/>
      <c r="AG314" s="201"/>
      <c r="AH314" s="201"/>
      <c r="AI314" s="201"/>
      <c r="AJ314" s="201"/>
      <c r="AN314" s="201"/>
      <c r="AP314" s="201"/>
      <c r="AT314" s="201"/>
      <c r="AU314" s="201"/>
    </row>
    <row r="315" ht="15.75" customHeight="1">
      <c r="A315" s="200"/>
      <c r="B315" s="201"/>
      <c r="C315" s="201"/>
      <c r="D315" s="201"/>
      <c r="E315" s="201"/>
      <c r="F315" s="201"/>
      <c r="I315" s="201"/>
      <c r="N315" s="201"/>
      <c r="O315" s="201"/>
      <c r="S315" s="201"/>
      <c r="T315" s="201"/>
      <c r="AB315" s="201"/>
      <c r="AC315" s="201"/>
      <c r="AD315" s="201"/>
      <c r="AE315" s="201"/>
      <c r="AF315" s="201"/>
      <c r="AG315" s="201"/>
      <c r="AH315" s="201"/>
      <c r="AI315" s="201"/>
      <c r="AJ315" s="201"/>
      <c r="AN315" s="201"/>
      <c r="AP315" s="201"/>
      <c r="AT315" s="201"/>
      <c r="AU315" s="201"/>
    </row>
    <row r="316" ht="15.75" customHeight="1">
      <c r="A316" s="200"/>
      <c r="B316" s="201"/>
      <c r="C316" s="201"/>
      <c r="D316" s="201"/>
      <c r="E316" s="201"/>
      <c r="F316" s="201"/>
      <c r="I316" s="201"/>
      <c r="N316" s="201"/>
      <c r="O316" s="201"/>
      <c r="S316" s="201"/>
      <c r="T316" s="201"/>
      <c r="AB316" s="201"/>
      <c r="AC316" s="201"/>
      <c r="AD316" s="201"/>
      <c r="AE316" s="201"/>
      <c r="AF316" s="201"/>
      <c r="AG316" s="201"/>
      <c r="AH316" s="201"/>
      <c r="AI316" s="201"/>
      <c r="AJ316" s="201"/>
      <c r="AN316" s="201"/>
      <c r="AP316" s="201"/>
      <c r="AT316" s="201"/>
      <c r="AU316" s="201"/>
    </row>
    <row r="317" ht="15.75" customHeight="1">
      <c r="A317" s="200"/>
      <c r="B317" s="201"/>
      <c r="C317" s="201"/>
      <c r="D317" s="201"/>
      <c r="E317" s="201"/>
      <c r="F317" s="201"/>
      <c r="I317" s="201"/>
      <c r="N317" s="201"/>
      <c r="O317" s="201"/>
      <c r="S317" s="201"/>
      <c r="T317" s="201"/>
      <c r="AB317" s="201"/>
      <c r="AC317" s="201"/>
      <c r="AD317" s="201"/>
      <c r="AE317" s="201"/>
      <c r="AF317" s="201"/>
      <c r="AG317" s="201"/>
      <c r="AH317" s="201"/>
      <c r="AI317" s="201"/>
      <c r="AJ317" s="201"/>
      <c r="AN317" s="201"/>
      <c r="AP317" s="201"/>
      <c r="AT317" s="201"/>
      <c r="AU317" s="201"/>
    </row>
    <row r="318" ht="15.75" customHeight="1">
      <c r="A318" s="200"/>
      <c r="B318" s="201"/>
      <c r="C318" s="201"/>
      <c r="D318" s="201"/>
      <c r="E318" s="201"/>
      <c r="F318" s="201"/>
      <c r="I318" s="201"/>
      <c r="N318" s="201"/>
      <c r="O318" s="201"/>
      <c r="S318" s="201"/>
      <c r="T318" s="201"/>
      <c r="AB318" s="201"/>
      <c r="AC318" s="201"/>
      <c r="AD318" s="201"/>
      <c r="AE318" s="201"/>
      <c r="AF318" s="201"/>
      <c r="AG318" s="201"/>
      <c r="AH318" s="201"/>
      <c r="AI318" s="201"/>
      <c r="AJ318" s="201"/>
      <c r="AN318" s="201"/>
      <c r="AP318" s="201"/>
      <c r="AT318" s="201"/>
      <c r="AU318" s="201"/>
    </row>
    <row r="319" ht="15.75" customHeight="1">
      <c r="A319" s="200"/>
      <c r="B319" s="201"/>
      <c r="C319" s="201"/>
      <c r="D319" s="201"/>
      <c r="E319" s="201"/>
      <c r="F319" s="201"/>
      <c r="I319" s="201"/>
      <c r="N319" s="201"/>
      <c r="O319" s="201"/>
      <c r="S319" s="201"/>
      <c r="T319" s="201"/>
      <c r="AB319" s="201"/>
      <c r="AC319" s="201"/>
      <c r="AD319" s="201"/>
      <c r="AE319" s="201"/>
      <c r="AF319" s="201"/>
      <c r="AG319" s="201"/>
      <c r="AH319" s="201"/>
      <c r="AI319" s="201"/>
      <c r="AJ319" s="201"/>
      <c r="AN319" s="201"/>
      <c r="AP319" s="201"/>
      <c r="AT319" s="201"/>
      <c r="AU319" s="201"/>
    </row>
    <row r="320" ht="15.75" customHeight="1">
      <c r="A320" s="200"/>
      <c r="B320" s="201"/>
      <c r="C320" s="201"/>
      <c r="D320" s="201"/>
      <c r="E320" s="201"/>
      <c r="F320" s="201"/>
      <c r="I320" s="201"/>
      <c r="N320" s="201"/>
      <c r="O320" s="201"/>
      <c r="S320" s="201"/>
      <c r="T320" s="201"/>
      <c r="AB320" s="201"/>
      <c r="AC320" s="201"/>
      <c r="AD320" s="201"/>
      <c r="AE320" s="201"/>
      <c r="AF320" s="201"/>
      <c r="AG320" s="201"/>
      <c r="AH320" s="201"/>
      <c r="AI320" s="201"/>
      <c r="AJ320" s="201"/>
      <c r="AN320" s="201"/>
      <c r="AP320" s="201"/>
      <c r="AT320" s="201"/>
      <c r="AU320" s="201"/>
    </row>
    <row r="321" ht="15.75" customHeight="1">
      <c r="A321" s="200"/>
      <c r="B321" s="201"/>
      <c r="C321" s="201"/>
      <c r="D321" s="201"/>
      <c r="E321" s="201"/>
      <c r="F321" s="201"/>
      <c r="I321" s="201"/>
      <c r="N321" s="201"/>
      <c r="O321" s="201"/>
      <c r="S321" s="201"/>
      <c r="T321" s="201"/>
      <c r="AB321" s="201"/>
      <c r="AC321" s="201"/>
      <c r="AD321" s="201"/>
      <c r="AE321" s="201"/>
      <c r="AF321" s="201"/>
      <c r="AG321" s="201"/>
      <c r="AH321" s="201"/>
      <c r="AI321" s="201"/>
      <c r="AJ321" s="201"/>
      <c r="AN321" s="201"/>
      <c r="AP321" s="201"/>
      <c r="AT321" s="201"/>
      <c r="AU321" s="201"/>
    </row>
    <row r="322" ht="15.75" customHeight="1">
      <c r="A322" s="200"/>
      <c r="B322" s="201"/>
      <c r="C322" s="201"/>
      <c r="D322" s="201"/>
      <c r="E322" s="201"/>
      <c r="F322" s="201"/>
      <c r="I322" s="201"/>
      <c r="N322" s="201"/>
      <c r="O322" s="201"/>
      <c r="S322" s="201"/>
      <c r="T322" s="201"/>
      <c r="AB322" s="201"/>
      <c r="AC322" s="201"/>
      <c r="AD322" s="201"/>
      <c r="AE322" s="201"/>
      <c r="AF322" s="201"/>
      <c r="AG322" s="201"/>
      <c r="AH322" s="201"/>
      <c r="AI322" s="201"/>
      <c r="AJ322" s="201"/>
      <c r="AN322" s="201"/>
      <c r="AP322" s="201"/>
      <c r="AT322" s="201"/>
      <c r="AU322" s="201"/>
    </row>
    <row r="323" ht="15.75" customHeight="1">
      <c r="A323" s="200"/>
      <c r="B323" s="201"/>
      <c r="C323" s="201"/>
      <c r="D323" s="201"/>
      <c r="E323" s="201"/>
      <c r="F323" s="201"/>
      <c r="I323" s="201"/>
      <c r="N323" s="201"/>
      <c r="O323" s="201"/>
      <c r="S323" s="201"/>
      <c r="T323" s="201"/>
      <c r="AB323" s="201"/>
      <c r="AC323" s="201"/>
      <c r="AD323" s="201"/>
      <c r="AE323" s="201"/>
      <c r="AF323" s="201"/>
      <c r="AG323" s="201"/>
      <c r="AH323" s="201"/>
      <c r="AI323" s="201"/>
      <c r="AJ323" s="201"/>
      <c r="AN323" s="201"/>
      <c r="AP323" s="201"/>
      <c r="AT323" s="201"/>
      <c r="AU323" s="201"/>
    </row>
    <row r="324" ht="15.75" customHeight="1">
      <c r="A324" s="200"/>
      <c r="B324" s="201"/>
      <c r="C324" s="201"/>
      <c r="D324" s="201"/>
      <c r="E324" s="201"/>
      <c r="F324" s="201"/>
      <c r="I324" s="201"/>
      <c r="N324" s="201"/>
      <c r="O324" s="201"/>
      <c r="S324" s="201"/>
      <c r="T324" s="201"/>
      <c r="AB324" s="201"/>
      <c r="AC324" s="201"/>
      <c r="AD324" s="201"/>
      <c r="AE324" s="201"/>
      <c r="AF324" s="201"/>
      <c r="AG324" s="201"/>
      <c r="AH324" s="201"/>
      <c r="AI324" s="201"/>
      <c r="AJ324" s="201"/>
      <c r="AN324" s="201"/>
      <c r="AP324" s="201"/>
      <c r="AT324" s="201"/>
      <c r="AU324" s="201"/>
    </row>
    <row r="325" ht="15.75" customHeight="1">
      <c r="A325" s="200"/>
      <c r="B325" s="201"/>
      <c r="C325" s="201"/>
      <c r="D325" s="201"/>
      <c r="E325" s="201"/>
      <c r="F325" s="201"/>
      <c r="I325" s="201"/>
      <c r="N325" s="201"/>
      <c r="O325" s="201"/>
      <c r="S325" s="201"/>
      <c r="T325" s="201"/>
      <c r="AB325" s="201"/>
      <c r="AC325" s="201"/>
      <c r="AD325" s="201"/>
      <c r="AE325" s="201"/>
      <c r="AF325" s="201"/>
      <c r="AG325" s="201"/>
      <c r="AH325" s="201"/>
      <c r="AI325" s="201"/>
      <c r="AJ325" s="201"/>
      <c r="AN325" s="201"/>
      <c r="AP325" s="201"/>
      <c r="AT325" s="201"/>
      <c r="AU325" s="201"/>
    </row>
    <row r="326" ht="15.75" customHeight="1">
      <c r="A326" s="200"/>
      <c r="B326" s="201"/>
      <c r="C326" s="201"/>
      <c r="D326" s="201"/>
      <c r="E326" s="201"/>
      <c r="F326" s="201"/>
      <c r="I326" s="201"/>
      <c r="N326" s="201"/>
      <c r="O326" s="201"/>
      <c r="S326" s="201"/>
      <c r="T326" s="201"/>
      <c r="AB326" s="201"/>
      <c r="AC326" s="201"/>
      <c r="AD326" s="201"/>
      <c r="AE326" s="201"/>
      <c r="AF326" s="201"/>
      <c r="AG326" s="201"/>
      <c r="AH326" s="201"/>
      <c r="AI326" s="201"/>
      <c r="AJ326" s="201"/>
      <c r="AN326" s="201"/>
      <c r="AP326" s="201"/>
      <c r="AT326" s="201"/>
      <c r="AU326" s="201"/>
    </row>
    <row r="327" ht="15.75" customHeight="1">
      <c r="A327" s="200"/>
      <c r="B327" s="201"/>
      <c r="C327" s="201"/>
      <c r="D327" s="201"/>
      <c r="E327" s="201"/>
      <c r="F327" s="201"/>
      <c r="I327" s="201"/>
      <c r="N327" s="201"/>
      <c r="O327" s="201"/>
      <c r="S327" s="201"/>
      <c r="T327" s="201"/>
      <c r="AB327" s="201"/>
      <c r="AC327" s="201"/>
      <c r="AD327" s="201"/>
      <c r="AE327" s="201"/>
      <c r="AF327" s="201"/>
      <c r="AG327" s="201"/>
      <c r="AH327" s="201"/>
      <c r="AI327" s="201"/>
      <c r="AJ327" s="201"/>
      <c r="AN327" s="201"/>
      <c r="AP327" s="201"/>
      <c r="AT327" s="201"/>
      <c r="AU327" s="201"/>
    </row>
    <row r="328" ht="15.75" customHeight="1">
      <c r="A328" s="200"/>
      <c r="B328" s="201"/>
      <c r="C328" s="201"/>
      <c r="D328" s="201"/>
      <c r="E328" s="201"/>
      <c r="F328" s="201"/>
      <c r="I328" s="201"/>
      <c r="N328" s="201"/>
      <c r="O328" s="201"/>
      <c r="S328" s="201"/>
      <c r="T328" s="201"/>
      <c r="AB328" s="201"/>
      <c r="AC328" s="201"/>
      <c r="AD328" s="201"/>
      <c r="AE328" s="201"/>
      <c r="AF328" s="201"/>
      <c r="AG328" s="201"/>
      <c r="AH328" s="201"/>
      <c r="AI328" s="201"/>
      <c r="AJ328" s="201"/>
      <c r="AN328" s="201"/>
      <c r="AP328" s="201"/>
      <c r="AT328" s="201"/>
      <c r="AU328" s="201"/>
    </row>
    <row r="329" ht="15.75" customHeight="1">
      <c r="A329" s="200"/>
      <c r="B329" s="201"/>
      <c r="C329" s="201"/>
      <c r="D329" s="201"/>
      <c r="E329" s="201"/>
      <c r="F329" s="201"/>
      <c r="I329" s="201"/>
      <c r="N329" s="201"/>
      <c r="O329" s="201"/>
      <c r="S329" s="201"/>
      <c r="T329" s="201"/>
      <c r="AB329" s="201"/>
      <c r="AC329" s="201"/>
      <c r="AD329" s="201"/>
      <c r="AE329" s="201"/>
      <c r="AF329" s="201"/>
      <c r="AG329" s="201"/>
      <c r="AH329" s="201"/>
      <c r="AI329" s="201"/>
      <c r="AJ329" s="201"/>
      <c r="AN329" s="201"/>
      <c r="AP329" s="201"/>
      <c r="AT329" s="201"/>
      <c r="AU329" s="201"/>
    </row>
    <row r="330" ht="15.75" customHeight="1">
      <c r="A330" s="200"/>
      <c r="B330" s="201"/>
      <c r="C330" s="201"/>
      <c r="D330" s="201"/>
      <c r="E330" s="201"/>
      <c r="F330" s="201"/>
      <c r="I330" s="201"/>
      <c r="N330" s="201"/>
      <c r="O330" s="201"/>
      <c r="S330" s="201"/>
      <c r="T330" s="201"/>
      <c r="AB330" s="201"/>
      <c r="AC330" s="201"/>
      <c r="AD330" s="201"/>
      <c r="AE330" s="201"/>
      <c r="AF330" s="201"/>
      <c r="AG330" s="201"/>
      <c r="AH330" s="201"/>
      <c r="AI330" s="201"/>
      <c r="AJ330" s="201"/>
      <c r="AN330" s="201"/>
      <c r="AP330" s="201"/>
      <c r="AT330" s="201"/>
      <c r="AU330" s="201"/>
    </row>
    <row r="331" ht="15.75" customHeight="1">
      <c r="A331" s="200"/>
      <c r="B331" s="201"/>
      <c r="C331" s="201"/>
      <c r="D331" s="201"/>
      <c r="E331" s="201"/>
      <c r="F331" s="201"/>
      <c r="I331" s="201"/>
      <c r="N331" s="201"/>
      <c r="O331" s="201"/>
      <c r="S331" s="201"/>
      <c r="T331" s="201"/>
      <c r="AB331" s="201"/>
      <c r="AC331" s="201"/>
      <c r="AD331" s="201"/>
      <c r="AE331" s="201"/>
      <c r="AF331" s="201"/>
      <c r="AG331" s="201"/>
      <c r="AH331" s="201"/>
      <c r="AI331" s="201"/>
      <c r="AJ331" s="201"/>
      <c r="AN331" s="201"/>
      <c r="AP331" s="201"/>
      <c r="AT331" s="201"/>
      <c r="AU331" s="201"/>
    </row>
    <row r="332" ht="15.75" customHeight="1">
      <c r="A332" s="200"/>
      <c r="B332" s="201"/>
      <c r="C332" s="201"/>
      <c r="D332" s="201"/>
      <c r="E332" s="201"/>
      <c r="F332" s="201"/>
      <c r="I332" s="201"/>
      <c r="N332" s="201"/>
      <c r="O332" s="201"/>
      <c r="S332" s="201"/>
      <c r="T332" s="201"/>
      <c r="AB332" s="201"/>
      <c r="AC332" s="201"/>
      <c r="AD332" s="201"/>
      <c r="AE332" s="201"/>
      <c r="AF332" s="201"/>
      <c r="AG332" s="201"/>
      <c r="AH332" s="201"/>
      <c r="AI332" s="201"/>
      <c r="AJ332" s="201"/>
      <c r="AN332" s="201"/>
      <c r="AP332" s="201"/>
      <c r="AT332" s="201"/>
      <c r="AU332" s="201"/>
    </row>
    <row r="333" ht="15.75" customHeight="1">
      <c r="A333" s="200"/>
      <c r="B333" s="201"/>
      <c r="C333" s="201"/>
      <c r="D333" s="201"/>
      <c r="E333" s="201"/>
      <c r="F333" s="201"/>
      <c r="I333" s="201"/>
      <c r="N333" s="201"/>
      <c r="O333" s="201"/>
      <c r="S333" s="201"/>
      <c r="T333" s="201"/>
      <c r="AB333" s="201"/>
      <c r="AC333" s="201"/>
      <c r="AD333" s="201"/>
      <c r="AE333" s="201"/>
      <c r="AF333" s="201"/>
      <c r="AG333" s="201"/>
      <c r="AH333" s="201"/>
      <c r="AI333" s="201"/>
      <c r="AJ333" s="201"/>
      <c r="AN333" s="201"/>
      <c r="AP333" s="201"/>
      <c r="AT333" s="201"/>
      <c r="AU333" s="201"/>
    </row>
    <row r="334" ht="15.75" customHeight="1">
      <c r="A334" s="200"/>
      <c r="B334" s="201"/>
      <c r="C334" s="201"/>
      <c r="D334" s="201"/>
      <c r="E334" s="201"/>
      <c r="F334" s="201"/>
      <c r="I334" s="201"/>
      <c r="N334" s="201"/>
      <c r="O334" s="201"/>
      <c r="S334" s="201"/>
      <c r="T334" s="201"/>
      <c r="AB334" s="201"/>
      <c r="AC334" s="201"/>
      <c r="AD334" s="201"/>
      <c r="AE334" s="201"/>
      <c r="AF334" s="201"/>
      <c r="AG334" s="201"/>
      <c r="AH334" s="201"/>
      <c r="AI334" s="201"/>
      <c r="AJ334" s="201"/>
      <c r="AN334" s="201"/>
      <c r="AP334" s="201"/>
      <c r="AT334" s="201"/>
      <c r="AU334" s="201"/>
    </row>
    <row r="335" ht="15.75" customHeight="1">
      <c r="A335" s="200"/>
      <c r="B335" s="201"/>
      <c r="C335" s="201"/>
      <c r="D335" s="201"/>
      <c r="E335" s="201"/>
      <c r="F335" s="201"/>
      <c r="I335" s="201"/>
      <c r="N335" s="201"/>
      <c r="O335" s="201"/>
      <c r="S335" s="201"/>
      <c r="T335" s="201"/>
      <c r="AB335" s="201"/>
      <c r="AC335" s="201"/>
      <c r="AD335" s="201"/>
      <c r="AE335" s="201"/>
      <c r="AF335" s="201"/>
      <c r="AG335" s="201"/>
      <c r="AH335" s="201"/>
      <c r="AI335" s="201"/>
      <c r="AJ335" s="201"/>
      <c r="AN335" s="201"/>
      <c r="AP335" s="201"/>
      <c r="AT335" s="201"/>
      <c r="AU335" s="201"/>
    </row>
    <row r="336" ht="15.75" customHeight="1">
      <c r="A336" s="200"/>
      <c r="B336" s="201"/>
      <c r="C336" s="201"/>
      <c r="D336" s="201"/>
      <c r="E336" s="201"/>
      <c r="F336" s="201"/>
      <c r="I336" s="201"/>
      <c r="N336" s="201"/>
      <c r="O336" s="201"/>
      <c r="S336" s="201"/>
      <c r="T336" s="201"/>
      <c r="AB336" s="201"/>
      <c r="AC336" s="201"/>
      <c r="AD336" s="201"/>
      <c r="AE336" s="201"/>
      <c r="AF336" s="201"/>
      <c r="AG336" s="201"/>
      <c r="AH336" s="201"/>
      <c r="AI336" s="201"/>
      <c r="AJ336" s="201"/>
      <c r="AN336" s="201"/>
      <c r="AP336" s="201"/>
      <c r="AT336" s="201"/>
      <c r="AU336" s="201"/>
    </row>
    <row r="337" ht="15.75" customHeight="1">
      <c r="A337" s="200"/>
      <c r="B337" s="201"/>
      <c r="C337" s="201"/>
      <c r="D337" s="201"/>
      <c r="E337" s="201"/>
      <c r="F337" s="201"/>
      <c r="I337" s="201"/>
      <c r="N337" s="201"/>
      <c r="O337" s="201"/>
      <c r="S337" s="201"/>
      <c r="T337" s="201"/>
      <c r="AB337" s="201"/>
      <c r="AC337" s="201"/>
      <c r="AD337" s="201"/>
      <c r="AE337" s="201"/>
      <c r="AF337" s="201"/>
      <c r="AG337" s="201"/>
      <c r="AH337" s="201"/>
      <c r="AI337" s="201"/>
      <c r="AJ337" s="201"/>
      <c r="AN337" s="201"/>
      <c r="AP337" s="201"/>
      <c r="AT337" s="201"/>
      <c r="AU337" s="201"/>
    </row>
    <row r="338" ht="15.75" customHeight="1">
      <c r="A338" s="200"/>
      <c r="B338" s="201"/>
      <c r="C338" s="201"/>
      <c r="D338" s="201"/>
      <c r="E338" s="201"/>
      <c r="F338" s="201"/>
      <c r="I338" s="201"/>
      <c r="N338" s="201"/>
      <c r="O338" s="201"/>
      <c r="S338" s="201"/>
      <c r="T338" s="201"/>
      <c r="AB338" s="201"/>
      <c r="AC338" s="201"/>
      <c r="AD338" s="201"/>
      <c r="AE338" s="201"/>
      <c r="AF338" s="201"/>
      <c r="AG338" s="201"/>
      <c r="AH338" s="201"/>
      <c r="AI338" s="201"/>
      <c r="AJ338" s="201"/>
      <c r="AN338" s="201"/>
      <c r="AP338" s="201"/>
      <c r="AT338" s="201"/>
      <c r="AU338" s="201"/>
    </row>
    <row r="339" ht="15.75" customHeight="1">
      <c r="A339" s="200"/>
      <c r="B339" s="201"/>
      <c r="C339" s="201"/>
      <c r="D339" s="201"/>
      <c r="E339" s="201"/>
      <c r="F339" s="201"/>
      <c r="I339" s="201"/>
      <c r="N339" s="201"/>
      <c r="O339" s="201"/>
      <c r="S339" s="201"/>
      <c r="T339" s="201"/>
      <c r="AB339" s="201"/>
      <c r="AC339" s="201"/>
      <c r="AD339" s="201"/>
      <c r="AE339" s="201"/>
      <c r="AF339" s="201"/>
      <c r="AG339" s="201"/>
      <c r="AH339" s="201"/>
      <c r="AI339" s="201"/>
      <c r="AJ339" s="201"/>
      <c r="AN339" s="201"/>
      <c r="AP339" s="201"/>
      <c r="AT339" s="201"/>
      <c r="AU339" s="201"/>
    </row>
    <row r="340" ht="15.75" customHeight="1">
      <c r="A340" s="200"/>
      <c r="B340" s="201"/>
      <c r="C340" s="201"/>
      <c r="D340" s="201"/>
      <c r="E340" s="201"/>
      <c r="F340" s="201"/>
      <c r="I340" s="201"/>
      <c r="N340" s="201"/>
      <c r="O340" s="201"/>
      <c r="S340" s="201"/>
      <c r="T340" s="201"/>
      <c r="AB340" s="201"/>
      <c r="AC340" s="201"/>
      <c r="AD340" s="201"/>
      <c r="AE340" s="201"/>
      <c r="AF340" s="201"/>
      <c r="AG340" s="201"/>
      <c r="AH340" s="201"/>
      <c r="AI340" s="201"/>
      <c r="AJ340" s="201"/>
      <c r="AN340" s="201"/>
      <c r="AP340" s="201"/>
      <c r="AT340" s="201"/>
      <c r="AU340" s="201"/>
    </row>
    <row r="341" ht="15.75" customHeight="1">
      <c r="A341" s="200"/>
      <c r="B341" s="201"/>
      <c r="C341" s="201"/>
      <c r="D341" s="201"/>
      <c r="E341" s="201"/>
      <c r="F341" s="201"/>
      <c r="I341" s="201"/>
      <c r="N341" s="201"/>
      <c r="O341" s="201"/>
      <c r="S341" s="201"/>
      <c r="T341" s="201"/>
      <c r="AB341" s="201"/>
      <c r="AC341" s="201"/>
      <c r="AD341" s="201"/>
      <c r="AE341" s="201"/>
      <c r="AF341" s="201"/>
      <c r="AG341" s="201"/>
      <c r="AH341" s="201"/>
      <c r="AI341" s="201"/>
      <c r="AJ341" s="201"/>
      <c r="AN341" s="201"/>
      <c r="AP341" s="201"/>
      <c r="AT341" s="201"/>
      <c r="AU341" s="201"/>
    </row>
    <row r="342" ht="15.75" customHeight="1">
      <c r="A342" s="200"/>
      <c r="B342" s="201"/>
      <c r="C342" s="201"/>
      <c r="D342" s="201"/>
      <c r="E342" s="201"/>
      <c r="F342" s="201"/>
      <c r="I342" s="201"/>
      <c r="N342" s="201"/>
      <c r="O342" s="201"/>
      <c r="S342" s="201"/>
      <c r="T342" s="201"/>
      <c r="AB342" s="201"/>
      <c r="AC342" s="201"/>
      <c r="AD342" s="201"/>
      <c r="AE342" s="201"/>
      <c r="AF342" s="201"/>
      <c r="AG342" s="201"/>
      <c r="AH342" s="201"/>
      <c r="AI342" s="201"/>
      <c r="AJ342" s="201"/>
      <c r="AN342" s="201"/>
      <c r="AP342" s="201"/>
      <c r="AT342" s="201"/>
      <c r="AU342" s="201"/>
    </row>
    <row r="343" ht="15.75" customHeight="1">
      <c r="A343" s="200"/>
      <c r="B343" s="201"/>
      <c r="C343" s="201"/>
      <c r="D343" s="201"/>
      <c r="E343" s="201"/>
      <c r="F343" s="201"/>
      <c r="I343" s="201"/>
      <c r="N343" s="201"/>
      <c r="O343" s="201"/>
      <c r="S343" s="201"/>
      <c r="T343" s="201"/>
      <c r="AB343" s="201"/>
      <c r="AC343" s="201"/>
      <c r="AD343" s="201"/>
      <c r="AE343" s="201"/>
      <c r="AF343" s="201"/>
      <c r="AG343" s="201"/>
      <c r="AH343" s="201"/>
      <c r="AI343" s="201"/>
      <c r="AJ343" s="201"/>
      <c r="AN343" s="201"/>
      <c r="AP343" s="201"/>
      <c r="AT343" s="201"/>
      <c r="AU343" s="201"/>
    </row>
    <row r="344" ht="15.75" customHeight="1">
      <c r="A344" s="200"/>
      <c r="B344" s="201"/>
      <c r="C344" s="201"/>
      <c r="D344" s="201"/>
      <c r="E344" s="201"/>
      <c r="F344" s="201"/>
      <c r="I344" s="201"/>
      <c r="N344" s="201"/>
      <c r="O344" s="201"/>
      <c r="S344" s="201"/>
      <c r="T344" s="201"/>
      <c r="AB344" s="201"/>
      <c r="AC344" s="201"/>
      <c r="AD344" s="201"/>
      <c r="AE344" s="201"/>
      <c r="AF344" s="201"/>
      <c r="AG344" s="201"/>
      <c r="AH344" s="201"/>
      <c r="AI344" s="201"/>
      <c r="AJ344" s="201"/>
      <c r="AN344" s="201"/>
      <c r="AP344" s="201"/>
      <c r="AT344" s="201"/>
      <c r="AU344" s="201"/>
    </row>
    <row r="345" ht="15.75" customHeight="1">
      <c r="A345" s="200"/>
      <c r="B345" s="201"/>
      <c r="C345" s="201"/>
      <c r="D345" s="201"/>
      <c r="E345" s="201"/>
      <c r="F345" s="201"/>
      <c r="I345" s="201"/>
      <c r="N345" s="201"/>
      <c r="O345" s="201"/>
      <c r="S345" s="201"/>
      <c r="T345" s="201"/>
      <c r="AB345" s="201"/>
      <c r="AC345" s="201"/>
      <c r="AD345" s="201"/>
      <c r="AE345" s="201"/>
      <c r="AF345" s="201"/>
      <c r="AG345" s="201"/>
      <c r="AH345" s="201"/>
      <c r="AI345" s="201"/>
      <c r="AJ345" s="201"/>
      <c r="AN345" s="201"/>
      <c r="AP345" s="201"/>
      <c r="AT345" s="201"/>
      <c r="AU345" s="201"/>
    </row>
    <row r="346" ht="15.75" customHeight="1">
      <c r="A346" s="200"/>
      <c r="B346" s="201"/>
      <c r="C346" s="201"/>
      <c r="D346" s="201"/>
      <c r="E346" s="201"/>
      <c r="F346" s="201"/>
      <c r="I346" s="201"/>
      <c r="N346" s="201"/>
      <c r="O346" s="201"/>
      <c r="S346" s="201"/>
      <c r="T346" s="201"/>
      <c r="AB346" s="201"/>
      <c r="AC346" s="201"/>
      <c r="AD346" s="201"/>
      <c r="AE346" s="201"/>
      <c r="AF346" s="201"/>
      <c r="AG346" s="201"/>
      <c r="AH346" s="201"/>
      <c r="AI346" s="201"/>
      <c r="AJ346" s="201"/>
      <c r="AN346" s="201"/>
      <c r="AP346" s="201"/>
      <c r="AT346" s="201"/>
      <c r="AU346" s="201"/>
    </row>
    <row r="347" ht="15.75" customHeight="1">
      <c r="A347" s="200"/>
      <c r="B347" s="201"/>
      <c r="C347" s="201"/>
      <c r="D347" s="201"/>
      <c r="E347" s="201"/>
      <c r="F347" s="201"/>
      <c r="I347" s="201"/>
      <c r="N347" s="201"/>
      <c r="O347" s="201"/>
      <c r="S347" s="201"/>
      <c r="T347" s="201"/>
      <c r="AB347" s="201"/>
      <c r="AC347" s="201"/>
      <c r="AD347" s="201"/>
      <c r="AE347" s="201"/>
      <c r="AF347" s="201"/>
      <c r="AG347" s="201"/>
      <c r="AH347" s="201"/>
      <c r="AI347" s="201"/>
      <c r="AJ347" s="201"/>
      <c r="AN347" s="201"/>
      <c r="AP347" s="201"/>
      <c r="AT347" s="201"/>
      <c r="AU347" s="201"/>
    </row>
    <row r="348" ht="15.75" customHeight="1">
      <c r="A348" s="200"/>
      <c r="B348" s="201"/>
      <c r="C348" s="201"/>
      <c r="D348" s="201"/>
      <c r="E348" s="201"/>
      <c r="F348" s="201"/>
      <c r="I348" s="201"/>
      <c r="N348" s="201"/>
      <c r="O348" s="201"/>
      <c r="S348" s="201"/>
      <c r="T348" s="201"/>
      <c r="AB348" s="201"/>
      <c r="AC348" s="201"/>
      <c r="AD348" s="201"/>
      <c r="AE348" s="201"/>
      <c r="AF348" s="201"/>
      <c r="AG348" s="201"/>
      <c r="AH348" s="201"/>
      <c r="AI348" s="201"/>
      <c r="AJ348" s="201"/>
      <c r="AN348" s="201"/>
      <c r="AP348" s="201"/>
      <c r="AT348" s="201"/>
      <c r="AU348" s="201"/>
    </row>
    <row r="349" ht="15.75" customHeight="1">
      <c r="A349" s="200"/>
      <c r="B349" s="201"/>
      <c r="C349" s="201"/>
      <c r="D349" s="201"/>
      <c r="E349" s="201"/>
      <c r="F349" s="201"/>
      <c r="I349" s="201"/>
      <c r="N349" s="201"/>
      <c r="O349" s="201"/>
      <c r="S349" s="201"/>
      <c r="T349" s="201"/>
      <c r="AB349" s="201"/>
      <c r="AC349" s="201"/>
      <c r="AD349" s="201"/>
      <c r="AE349" s="201"/>
      <c r="AF349" s="201"/>
      <c r="AG349" s="201"/>
      <c r="AH349" s="201"/>
      <c r="AI349" s="201"/>
      <c r="AJ349" s="201"/>
      <c r="AN349" s="201"/>
      <c r="AP349" s="201"/>
      <c r="AT349" s="201"/>
      <c r="AU349" s="201"/>
    </row>
    <row r="350" ht="15.75" customHeight="1">
      <c r="A350" s="200"/>
      <c r="B350" s="201"/>
      <c r="C350" s="201"/>
      <c r="D350" s="201"/>
      <c r="E350" s="201"/>
      <c r="F350" s="201"/>
      <c r="I350" s="201"/>
      <c r="N350" s="201"/>
      <c r="O350" s="201"/>
      <c r="S350" s="201"/>
      <c r="T350" s="201"/>
      <c r="AB350" s="201"/>
      <c r="AC350" s="201"/>
      <c r="AD350" s="201"/>
      <c r="AE350" s="201"/>
      <c r="AF350" s="201"/>
      <c r="AG350" s="201"/>
      <c r="AH350" s="201"/>
      <c r="AI350" s="201"/>
      <c r="AJ350" s="201"/>
      <c r="AN350" s="201"/>
      <c r="AP350" s="201"/>
      <c r="AT350" s="201"/>
      <c r="AU350" s="201"/>
    </row>
    <row r="351" ht="15.75" customHeight="1">
      <c r="A351" s="200"/>
      <c r="B351" s="201"/>
      <c r="C351" s="201"/>
      <c r="D351" s="201"/>
      <c r="E351" s="201"/>
      <c r="F351" s="201"/>
      <c r="I351" s="201"/>
      <c r="N351" s="201"/>
      <c r="O351" s="201"/>
      <c r="S351" s="201"/>
      <c r="T351" s="201"/>
      <c r="AB351" s="201"/>
      <c r="AC351" s="201"/>
      <c r="AD351" s="201"/>
      <c r="AE351" s="201"/>
      <c r="AF351" s="201"/>
      <c r="AG351" s="201"/>
      <c r="AH351" s="201"/>
      <c r="AI351" s="201"/>
      <c r="AJ351" s="201"/>
      <c r="AN351" s="201"/>
      <c r="AP351" s="201"/>
      <c r="AT351" s="201"/>
      <c r="AU351" s="201"/>
    </row>
    <row r="352" ht="15.75" customHeight="1">
      <c r="A352" s="200"/>
      <c r="B352" s="201"/>
      <c r="C352" s="201"/>
      <c r="D352" s="201"/>
      <c r="E352" s="201"/>
      <c r="F352" s="201"/>
      <c r="I352" s="201"/>
      <c r="N352" s="201"/>
      <c r="O352" s="201"/>
      <c r="S352" s="201"/>
      <c r="T352" s="201"/>
      <c r="AB352" s="201"/>
      <c r="AC352" s="201"/>
      <c r="AD352" s="201"/>
      <c r="AE352" s="201"/>
      <c r="AF352" s="201"/>
      <c r="AG352" s="201"/>
      <c r="AH352" s="201"/>
      <c r="AI352" s="201"/>
      <c r="AJ352" s="201"/>
      <c r="AN352" s="201"/>
      <c r="AP352" s="201"/>
      <c r="AT352" s="201"/>
      <c r="AU352" s="201"/>
    </row>
    <row r="353" ht="15.75" customHeight="1">
      <c r="A353" s="200"/>
      <c r="B353" s="201"/>
      <c r="C353" s="201"/>
      <c r="D353" s="201"/>
      <c r="E353" s="201"/>
      <c r="F353" s="201"/>
      <c r="I353" s="201"/>
      <c r="N353" s="201"/>
      <c r="O353" s="201"/>
      <c r="S353" s="201"/>
      <c r="T353" s="201"/>
      <c r="AB353" s="201"/>
      <c r="AC353" s="201"/>
      <c r="AD353" s="201"/>
      <c r="AE353" s="201"/>
      <c r="AF353" s="201"/>
      <c r="AG353" s="201"/>
      <c r="AH353" s="201"/>
      <c r="AI353" s="201"/>
      <c r="AJ353" s="201"/>
      <c r="AN353" s="201"/>
      <c r="AP353" s="201"/>
      <c r="AT353" s="201"/>
      <c r="AU353" s="201"/>
    </row>
    <row r="354" ht="15.75" customHeight="1">
      <c r="A354" s="200"/>
      <c r="B354" s="201"/>
      <c r="C354" s="201"/>
      <c r="D354" s="201"/>
      <c r="E354" s="201"/>
      <c r="F354" s="201"/>
      <c r="I354" s="201"/>
      <c r="N354" s="201"/>
      <c r="O354" s="201"/>
      <c r="S354" s="201"/>
      <c r="T354" s="201"/>
      <c r="AB354" s="201"/>
      <c r="AC354" s="201"/>
      <c r="AD354" s="201"/>
      <c r="AE354" s="201"/>
      <c r="AF354" s="201"/>
      <c r="AG354" s="201"/>
      <c r="AH354" s="201"/>
      <c r="AI354" s="201"/>
      <c r="AJ354" s="201"/>
      <c r="AN354" s="201"/>
      <c r="AP354" s="201"/>
      <c r="AT354" s="201"/>
      <c r="AU354" s="201"/>
    </row>
    <row r="355" ht="15.75" customHeight="1">
      <c r="A355" s="200"/>
      <c r="B355" s="201"/>
      <c r="C355" s="201"/>
      <c r="D355" s="201"/>
      <c r="E355" s="201"/>
      <c r="F355" s="201"/>
      <c r="I355" s="201"/>
      <c r="N355" s="201"/>
      <c r="O355" s="201"/>
      <c r="S355" s="201"/>
      <c r="T355" s="201"/>
      <c r="AB355" s="201"/>
      <c r="AC355" s="201"/>
      <c r="AD355" s="201"/>
      <c r="AE355" s="201"/>
      <c r="AF355" s="201"/>
      <c r="AG355" s="201"/>
      <c r="AH355" s="201"/>
      <c r="AI355" s="201"/>
      <c r="AJ355" s="201"/>
      <c r="AN355" s="201"/>
      <c r="AP355" s="201"/>
      <c r="AT355" s="201"/>
      <c r="AU355" s="201"/>
    </row>
    <row r="356" ht="15.75" customHeight="1">
      <c r="A356" s="200"/>
      <c r="B356" s="201"/>
      <c r="C356" s="201"/>
      <c r="D356" s="201"/>
      <c r="E356" s="201"/>
      <c r="F356" s="201"/>
      <c r="I356" s="201"/>
      <c r="N356" s="201"/>
      <c r="O356" s="201"/>
      <c r="S356" s="201"/>
      <c r="T356" s="201"/>
      <c r="AB356" s="201"/>
      <c r="AC356" s="201"/>
      <c r="AD356" s="201"/>
      <c r="AE356" s="201"/>
      <c r="AF356" s="201"/>
      <c r="AG356" s="201"/>
      <c r="AH356" s="201"/>
      <c r="AI356" s="201"/>
      <c r="AJ356" s="201"/>
      <c r="AN356" s="201"/>
      <c r="AP356" s="201"/>
      <c r="AT356" s="201"/>
      <c r="AU356" s="201"/>
    </row>
    <row r="357" ht="15.75" customHeight="1">
      <c r="A357" s="200"/>
      <c r="B357" s="201"/>
      <c r="C357" s="201"/>
      <c r="D357" s="201"/>
      <c r="E357" s="201"/>
      <c r="F357" s="201"/>
      <c r="I357" s="201"/>
      <c r="N357" s="201"/>
      <c r="O357" s="201"/>
      <c r="S357" s="201"/>
      <c r="T357" s="201"/>
      <c r="AB357" s="201"/>
      <c r="AC357" s="201"/>
      <c r="AD357" s="201"/>
      <c r="AE357" s="201"/>
      <c r="AF357" s="201"/>
      <c r="AG357" s="201"/>
      <c r="AH357" s="201"/>
      <c r="AI357" s="201"/>
      <c r="AJ357" s="201"/>
      <c r="AN357" s="201"/>
      <c r="AP357" s="201"/>
      <c r="AT357" s="201"/>
      <c r="AU357" s="201"/>
    </row>
    <row r="358" ht="15.75" customHeight="1">
      <c r="A358" s="200"/>
      <c r="B358" s="201"/>
      <c r="C358" s="201"/>
      <c r="D358" s="201"/>
      <c r="E358" s="201"/>
      <c r="F358" s="201"/>
      <c r="I358" s="201"/>
      <c r="N358" s="201"/>
      <c r="O358" s="201"/>
      <c r="S358" s="201"/>
      <c r="T358" s="201"/>
      <c r="AB358" s="201"/>
      <c r="AC358" s="201"/>
      <c r="AD358" s="201"/>
      <c r="AE358" s="201"/>
      <c r="AF358" s="201"/>
      <c r="AG358" s="201"/>
      <c r="AH358" s="201"/>
      <c r="AI358" s="201"/>
      <c r="AJ358" s="201"/>
      <c r="AN358" s="201"/>
      <c r="AP358" s="201"/>
      <c r="AT358" s="201"/>
      <c r="AU358" s="201"/>
    </row>
    <row r="359" ht="15.75" customHeight="1">
      <c r="A359" s="200"/>
      <c r="B359" s="201"/>
      <c r="C359" s="201"/>
      <c r="D359" s="201"/>
      <c r="E359" s="201"/>
      <c r="F359" s="201"/>
      <c r="I359" s="201"/>
      <c r="N359" s="201"/>
      <c r="O359" s="201"/>
      <c r="S359" s="201"/>
      <c r="T359" s="201"/>
      <c r="AB359" s="201"/>
      <c r="AC359" s="201"/>
      <c r="AD359" s="201"/>
      <c r="AE359" s="201"/>
      <c r="AF359" s="201"/>
      <c r="AG359" s="201"/>
      <c r="AH359" s="201"/>
      <c r="AI359" s="201"/>
      <c r="AJ359" s="201"/>
      <c r="AN359" s="201"/>
      <c r="AP359" s="201"/>
      <c r="AT359" s="201"/>
      <c r="AU359" s="201"/>
    </row>
    <row r="360" ht="15.75" customHeight="1">
      <c r="A360" s="200"/>
      <c r="B360" s="201"/>
      <c r="C360" s="201"/>
      <c r="D360" s="201"/>
      <c r="E360" s="201"/>
      <c r="F360" s="201"/>
      <c r="I360" s="201"/>
      <c r="N360" s="201"/>
      <c r="O360" s="201"/>
      <c r="S360" s="201"/>
      <c r="T360" s="201"/>
      <c r="AB360" s="201"/>
      <c r="AC360" s="201"/>
      <c r="AD360" s="201"/>
      <c r="AE360" s="201"/>
      <c r="AF360" s="201"/>
      <c r="AG360" s="201"/>
      <c r="AH360" s="201"/>
      <c r="AI360" s="201"/>
      <c r="AJ360" s="201"/>
      <c r="AN360" s="201"/>
      <c r="AP360" s="201"/>
      <c r="AT360" s="201"/>
      <c r="AU360" s="201"/>
    </row>
    <row r="361" ht="15.75" customHeight="1">
      <c r="A361" s="200"/>
      <c r="B361" s="201"/>
      <c r="C361" s="201"/>
      <c r="D361" s="201"/>
      <c r="E361" s="201"/>
      <c r="F361" s="201"/>
      <c r="I361" s="201"/>
      <c r="N361" s="201"/>
      <c r="O361" s="201"/>
      <c r="S361" s="201"/>
      <c r="T361" s="201"/>
      <c r="AB361" s="201"/>
      <c r="AC361" s="201"/>
      <c r="AD361" s="201"/>
      <c r="AE361" s="201"/>
      <c r="AF361" s="201"/>
      <c r="AG361" s="201"/>
      <c r="AH361" s="201"/>
      <c r="AI361" s="201"/>
      <c r="AJ361" s="201"/>
      <c r="AN361" s="201"/>
      <c r="AP361" s="201"/>
      <c r="AT361" s="201"/>
      <c r="AU361" s="201"/>
    </row>
    <row r="362" ht="15.75" customHeight="1">
      <c r="A362" s="200"/>
      <c r="B362" s="201"/>
      <c r="C362" s="201"/>
      <c r="D362" s="201"/>
      <c r="E362" s="201"/>
      <c r="F362" s="201"/>
      <c r="I362" s="201"/>
      <c r="N362" s="201"/>
      <c r="O362" s="201"/>
      <c r="S362" s="201"/>
      <c r="T362" s="201"/>
      <c r="AB362" s="201"/>
      <c r="AC362" s="201"/>
      <c r="AD362" s="201"/>
      <c r="AE362" s="201"/>
      <c r="AF362" s="201"/>
      <c r="AG362" s="201"/>
      <c r="AH362" s="201"/>
      <c r="AI362" s="201"/>
      <c r="AJ362" s="201"/>
      <c r="AN362" s="201"/>
      <c r="AP362" s="201"/>
      <c r="AT362" s="201"/>
      <c r="AU362" s="201"/>
    </row>
    <row r="363" ht="15.75" customHeight="1">
      <c r="A363" s="200"/>
      <c r="B363" s="201"/>
      <c r="C363" s="201"/>
      <c r="D363" s="201"/>
      <c r="E363" s="201"/>
      <c r="F363" s="201"/>
      <c r="I363" s="201"/>
      <c r="N363" s="201"/>
      <c r="O363" s="201"/>
      <c r="S363" s="201"/>
      <c r="T363" s="201"/>
      <c r="AB363" s="201"/>
      <c r="AC363" s="201"/>
      <c r="AD363" s="201"/>
      <c r="AE363" s="201"/>
      <c r="AF363" s="201"/>
      <c r="AG363" s="201"/>
      <c r="AH363" s="201"/>
      <c r="AI363" s="201"/>
      <c r="AJ363" s="201"/>
      <c r="AN363" s="201"/>
      <c r="AP363" s="201"/>
      <c r="AT363" s="201"/>
      <c r="AU363" s="201"/>
    </row>
    <row r="364" ht="15.75" customHeight="1">
      <c r="A364" s="200"/>
      <c r="B364" s="201"/>
      <c r="C364" s="201"/>
      <c r="D364" s="201"/>
      <c r="E364" s="201"/>
      <c r="F364" s="201"/>
      <c r="I364" s="201"/>
      <c r="N364" s="201"/>
      <c r="O364" s="201"/>
      <c r="S364" s="201"/>
      <c r="T364" s="201"/>
      <c r="AB364" s="201"/>
      <c r="AC364" s="201"/>
      <c r="AD364" s="201"/>
      <c r="AE364" s="201"/>
      <c r="AF364" s="201"/>
      <c r="AG364" s="201"/>
      <c r="AH364" s="201"/>
      <c r="AI364" s="201"/>
      <c r="AJ364" s="201"/>
      <c r="AN364" s="201"/>
      <c r="AP364" s="201"/>
      <c r="AT364" s="201"/>
      <c r="AU364" s="201"/>
    </row>
    <row r="365" ht="15.75" customHeight="1">
      <c r="A365" s="200"/>
      <c r="B365" s="201"/>
      <c r="C365" s="201"/>
      <c r="D365" s="201"/>
      <c r="E365" s="201"/>
      <c r="F365" s="201"/>
      <c r="I365" s="201"/>
      <c r="N365" s="201"/>
      <c r="O365" s="201"/>
      <c r="S365" s="201"/>
      <c r="T365" s="201"/>
      <c r="AB365" s="201"/>
      <c r="AC365" s="201"/>
      <c r="AD365" s="201"/>
      <c r="AE365" s="201"/>
      <c r="AF365" s="201"/>
      <c r="AG365" s="201"/>
      <c r="AH365" s="201"/>
      <c r="AI365" s="201"/>
      <c r="AJ365" s="201"/>
      <c r="AN365" s="201"/>
      <c r="AP365" s="201"/>
      <c r="AT365" s="201"/>
      <c r="AU365" s="201"/>
    </row>
    <row r="366" ht="15.75" customHeight="1">
      <c r="A366" s="200"/>
      <c r="B366" s="201"/>
      <c r="C366" s="201"/>
      <c r="D366" s="201"/>
      <c r="E366" s="201"/>
      <c r="F366" s="201"/>
      <c r="I366" s="201"/>
      <c r="N366" s="201"/>
      <c r="O366" s="201"/>
      <c r="S366" s="201"/>
      <c r="T366" s="201"/>
      <c r="AB366" s="201"/>
      <c r="AC366" s="201"/>
      <c r="AD366" s="201"/>
      <c r="AE366" s="201"/>
      <c r="AF366" s="201"/>
      <c r="AG366" s="201"/>
      <c r="AH366" s="201"/>
      <c r="AI366" s="201"/>
      <c r="AJ366" s="201"/>
      <c r="AN366" s="201"/>
      <c r="AP366" s="201"/>
      <c r="AT366" s="201"/>
      <c r="AU366" s="201"/>
    </row>
    <row r="367" ht="15.75" customHeight="1">
      <c r="A367" s="200"/>
      <c r="B367" s="201"/>
      <c r="C367" s="201"/>
      <c r="D367" s="201"/>
      <c r="E367" s="201"/>
      <c r="F367" s="201"/>
      <c r="I367" s="201"/>
      <c r="N367" s="201"/>
      <c r="O367" s="201"/>
      <c r="S367" s="201"/>
      <c r="T367" s="201"/>
      <c r="AB367" s="201"/>
      <c r="AC367" s="201"/>
      <c r="AD367" s="201"/>
      <c r="AE367" s="201"/>
      <c r="AF367" s="201"/>
      <c r="AG367" s="201"/>
      <c r="AH367" s="201"/>
      <c r="AI367" s="201"/>
      <c r="AJ367" s="201"/>
      <c r="AN367" s="201"/>
      <c r="AP367" s="201"/>
      <c r="AT367" s="201"/>
      <c r="AU367" s="201"/>
    </row>
    <row r="368" ht="15.75" customHeight="1">
      <c r="A368" s="200"/>
      <c r="B368" s="201"/>
      <c r="C368" s="201"/>
      <c r="D368" s="201"/>
      <c r="E368" s="201"/>
      <c r="F368" s="201"/>
      <c r="I368" s="201"/>
      <c r="N368" s="201"/>
      <c r="O368" s="201"/>
      <c r="S368" s="201"/>
      <c r="T368" s="201"/>
      <c r="AB368" s="201"/>
      <c r="AC368" s="201"/>
      <c r="AD368" s="201"/>
      <c r="AE368" s="201"/>
      <c r="AF368" s="201"/>
      <c r="AG368" s="201"/>
      <c r="AH368" s="201"/>
      <c r="AI368" s="201"/>
      <c r="AJ368" s="201"/>
      <c r="AN368" s="201"/>
      <c r="AP368" s="201"/>
      <c r="AT368" s="201"/>
      <c r="AU368" s="201"/>
    </row>
    <row r="369" ht="15.75" customHeight="1">
      <c r="A369" s="200"/>
      <c r="B369" s="201"/>
      <c r="C369" s="201"/>
      <c r="D369" s="201"/>
      <c r="E369" s="201"/>
      <c r="F369" s="201"/>
      <c r="I369" s="201"/>
      <c r="N369" s="201"/>
      <c r="O369" s="201"/>
      <c r="S369" s="201"/>
      <c r="T369" s="201"/>
      <c r="AB369" s="201"/>
      <c r="AC369" s="201"/>
      <c r="AD369" s="201"/>
      <c r="AE369" s="201"/>
      <c r="AF369" s="201"/>
      <c r="AG369" s="201"/>
      <c r="AH369" s="201"/>
      <c r="AI369" s="201"/>
      <c r="AJ369" s="201"/>
      <c r="AN369" s="201"/>
      <c r="AP369" s="201"/>
      <c r="AT369" s="201"/>
      <c r="AU369" s="201"/>
    </row>
    <row r="370" ht="15.75" customHeight="1">
      <c r="A370" s="200"/>
      <c r="B370" s="201"/>
      <c r="C370" s="201"/>
      <c r="D370" s="201"/>
      <c r="E370" s="201"/>
      <c r="F370" s="201"/>
      <c r="I370" s="201"/>
      <c r="N370" s="201"/>
      <c r="O370" s="201"/>
      <c r="S370" s="201"/>
      <c r="T370" s="201"/>
      <c r="AB370" s="201"/>
      <c r="AC370" s="201"/>
      <c r="AD370" s="201"/>
      <c r="AE370" s="201"/>
      <c r="AF370" s="201"/>
      <c r="AG370" s="201"/>
      <c r="AH370" s="201"/>
      <c r="AI370" s="201"/>
      <c r="AJ370" s="201"/>
      <c r="AN370" s="201"/>
      <c r="AP370" s="201"/>
      <c r="AT370" s="201"/>
      <c r="AU370" s="201"/>
    </row>
    <row r="371" ht="15.75" customHeight="1">
      <c r="A371" s="200"/>
      <c r="B371" s="201"/>
      <c r="C371" s="201"/>
      <c r="D371" s="201"/>
      <c r="E371" s="201"/>
      <c r="F371" s="201"/>
      <c r="I371" s="201"/>
      <c r="N371" s="201"/>
      <c r="O371" s="201"/>
      <c r="S371" s="201"/>
      <c r="T371" s="201"/>
      <c r="AB371" s="201"/>
      <c r="AC371" s="201"/>
      <c r="AD371" s="201"/>
      <c r="AE371" s="201"/>
      <c r="AF371" s="201"/>
      <c r="AG371" s="201"/>
      <c r="AH371" s="201"/>
      <c r="AI371" s="201"/>
      <c r="AJ371" s="201"/>
      <c r="AN371" s="201"/>
      <c r="AP371" s="201"/>
      <c r="AT371" s="201"/>
      <c r="AU371" s="201"/>
    </row>
    <row r="372" ht="15.75" customHeight="1">
      <c r="A372" s="200"/>
      <c r="B372" s="201"/>
      <c r="C372" s="201"/>
      <c r="D372" s="201"/>
      <c r="E372" s="201"/>
      <c r="F372" s="201"/>
      <c r="I372" s="201"/>
      <c r="N372" s="201"/>
      <c r="O372" s="201"/>
      <c r="S372" s="201"/>
      <c r="T372" s="201"/>
      <c r="AB372" s="201"/>
      <c r="AC372" s="201"/>
      <c r="AD372" s="201"/>
      <c r="AE372" s="201"/>
      <c r="AF372" s="201"/>
      <c r="AG372" s="201"/>
      <c r="AH372" s="201"/>
      <c r="AI372" s="201"/>
      <c r="AJ372" s="201"/>
      <c r="AN372" s="201"/>
      <c r="AP372" s="201"/>
      <c r="AT372" s="201"/>
      <c r="AU372" s="201"/>
    </row>
    <row r="373" ht="15.75" customHeight="1">
      <c r="A373" s="200"/>
      <c r="B373" s="201"/>
      <c r="C373" s="201"/>
      <c r="D373" s="201"/>
      <c r="E373" s="201"/>
      <c r="F373" s="201"/>
      <c r="I373" s="201"/>
      <c r="N373" s="201"/>
      <c r="O373" s="201"/>
      <c r="S373" s="201"/>
      <c r="T373" s="201"/>
      <c r="AB373" s="201"/>
      <c r="AC373" s="201"/>
      <c r="AD373" s="201"/>
      <c r="AE373" s="201"/>
      <c r="AF373" s="201"/>
      <c r="AG373" s="201"/>
      <c r="AH373" s="201"/>
      <c r="AI373" s="201"/>
      <c r="AJ373" s="201"/>
      <c r="AN373" s="201"/>
      <c r="AP373" s="201"/>
      <c r="AT373" s="201"/>
      <c r="AU373" s="201"/>
    </row>
    <row r="374" ht="15.75" customHeight="1">
      <c r="A374" s="200"/>
      <c r="B374" s="201"/>
      <c r="C374" s="201"/>
      <c r="D374" s="201"/>
      <c r="E374" s="201"/>
      <c r="F374" s="201"/>
      <c r="I374" s="201"/>
      <c r="N374" s="201"/>
      <c r="O374" s="201"/>
      <c r="S374" s="201"/>
      <c r="T374" s="201"/>
      <c r="AB374" s="201"/>
      <c r="AC374" s="201"/>
      <c r="AD374" s="201"/>
      <c r="AE374" s="201"/>
      <c r="AF374" s="201"/>
      <c r="AG374" s="201"/>
      <c r="AH374" s="201"/>
      <c r="AI374" s="201"/>
      <c r="AJ374" s="201"/>
      <c r="AN374" s="201"/>
      <c r="AP374" s="201"/>
      <c r="AT374" s="201"/>
      <c r="AU374" s="201"/>
    </row>
    <row r="375" ht="15.75" customHeight="1">
      <c r="A375" s="200"/>
      <c r="B375" s="201"/>
      <c r="C375" s="201"/>
      <c r="D375" s="201"/>
      <c r="E375" s="201"/>
      <c r="F375" s="201"/>
      <c r="I375" s="201"/>
      <c r="N375" s="201"/>
      <c r="O375" s="201"/>
      <c r="S375" s="201"/>
      <c r="T375" s="201"/>
      <c r="AB375" s="201"/>
      <c r="AC375" s="201"/>
      <c r="AD375" s="201"/>
      <c r="AE375" s="201"/>
      <c r="AF375" s="201"/>
      <c r="AG375" s="201"/>
      <c r="AH375" s="201"/>
      <c r="AI375" s="201"/>
      <c r="AJ375" s="201"/>
      <c r="AN375" s="201"/>
      <c r="AP375" s="201"/>
      <c r="AT375" s="201"/>
      <c r="AU375" s="201"/>
    </row>
    <row r="376" ht="15.75" customHeight="1">
      <c r="A376" s="200"/>
      <c r="B376" s="201"/>
      <c r="C376" s="201"/>
      <c r="D376" s="201"/>
      <c r="E376" s="201"/>
      <c r="F376" s="201"/>
      <c r="I376" s="201"/>
      <c r="N376" s="201"/>
      <c r="O376" s="201"/>
      <c r="S376" s="201"/>
      <c r="T376" s="201"/>
      <c r="AB376" s="201"/>
      <c r="AC376" s="201"/>
      <c r="AD376" s="201"/>
      <c r="AE376" s="201"/>
      <c r="AF376" s="201"/>
      <c r="AG376" s="201"/>
      <c r="AH376" s="201"/>
      <c r="AI376" s="201"/>
      <c r="AJ376" s="201"/>
      <c r="AN376" s="201"/>
      <c r="AP376" s="201"/>
      <c r="AT376" s="201"/>
      <c r="AU376" s="201"/>
    </row>
    <row r="377" ht="15.75" customHeight="1">
      <c r="A377" s="200"/>
      <c r="B377" s="201"/>
      <c r="C377" s="201"/>
      <c r="D377" s="201"/>
      <c r="E377" s="201"/>
      <c r="F377" s="201"/>
      <c r="I377" s="201"/>
      <c r="N377" s="201"/>
      <c r="O377" s="201"/>
      <c r="S377" s="201"/>
      <c r="T377" s="201"/>
      <c r="AB377" s="201"/>
      <c r="AC377" s="201"/>
      <c r="AD377" s="201"/>
      <c r="AE377" s="201"/>
      <c r="AF377" s="201"/>
      <c r="AG377" s="201"/>
      <c r="AH377" s="201"/>
      <c r="AI377" s="201"/>
      <c r="AJ377" s="201"/>
      <c r="AN377" s="201"/>
      <c r="AP377" s="201"/>
      <c r="AT377" s="201"/>
      <c r="AU377" s="201"/>
    </row>
    <row r="378" ht="15.75" customHeight="1">
      <c r="A378" s="200"/>
      <c r="B378" s="201"/>
      <c r="C378" s="201"/>
      <c r="D378" s="201"/>
      <c r="E378" s="201"/>
      <c r="F378" s="201"/>
      <c r="I378" s="201"/>
      <c r="N378" s="201"/>
      <c r="O378" s="201"/>
      <c r="S378" s="201"/>
      <c r="T378" s="201"/>
      <c r="AB378" s="201"/>
      <c r="AC378" s="201"/>
      <c r="AD378" s="201"/>
      <c r="AE378" s="201"/>
      <c r="AF378" s="201"/>
      <c r="AG378" s="201"/>
      <c r="AH378" s="201"/>
      <c r="AI378" s="201"/>
      <c r="AJ378" s="201"/>
      <c r="AN378" s="201"/>
      <c r="AP378" s="201"/>
      <c r="AT378" s="201"/>
      <c r="AU378" s="201"/>
    </row>
    <row r="379" ht="15.75" customHeight="1">
      <c r="A379" s="200"/>
      <c r="B379" s="201"/>
      <c r="C379" s="201"/>
      <c r="D379" s="201"/>
      <c r="E379" s="201"/>
      <c r="F379" s="201"/>
      <c r="I379" s="201"/>
      <c r="N379" s="201"/>
      <c r="O379" s="201"/>
      <c r="S379" s="201"/>
      <c r="T379" s="201"/>
      <c r="AB379" s="201"/>
      <c r="AC379" s="201"/>
      <c r="AD379" s="201"/>
      <c r="AE379" s="201"/>
      <c r="AF379" s="201"/>
      <c r="AG379" s="201"/>
      <c r="AH379" s="201"/>
      <c r="AI379" s="201"/>
      <c r="AJ379" s="201"/>
      <c r="AN379" s="201"/>
      <c r="AP379" s="201"/>
      <c r="AT379" s="201"/>
      <c r="AU379" s="201"/>
    </row>
    <row r="380" ht="15.75" customHeight="1">
      <c r="A380" s="200"/>
      <c r="B380" s="201"/>
      <c r="C380" s="201"/>
      <c r="D380" s="201"/>
      <c r="E380" s="201"/>
      <c r="F380" s="201"/>
      <c r="I380" s="201"/>
      <c r="N380" s="201"/>
      <c r="O380" s="201"/>
      <c r="S380" s="201"/>
      <c r="T380" s="201"/>
      <c r="AB380" s="201"/>
      <c r="AC380" s="201"/>
      <c r="AD380" s="201"/>
      <c r="AE380" s="201"/>
      <c r="AF380" s="201"/>
      <c r="AG380" s="201"/>
      <c r="AH380" s="201"/>
      <c r="AI380" s="201"/>
      <c r="AJ380" s="201"/>
      <c r="AN380" s="201"/>
      <c r="AP380" s="201"/>
      <c r="AT380" s="201"/>
      <c r="AU380" s="201"/>
    </row>
    <row r="381" ht="15.75" customHeight="1">
      <c r="A381" s="200"/>
      <c r="B381" s="201"/>
      <c r="C381" s="201"/>
      <c r="D381" s="201"/>
      <c r="E381" s="201"/>
      <c r="F381" s="201"/>
      <c r="I381" s="201"/>
      <c r="N381" s="201"/>
      <c r="O381" s="201"/>
      <c r="S381" s="201"/>
      <c r="T381" s="201"/>
      <c r="AB381" s="201"/>
      <c r="AC381" s="201"/>
      <c r="AD381" s="201"/>
      <c r="AE381" s="201"/>
      <c r="AF381" s="201"/>
      <c r="AG381" s="201"/>
      <c r="AH381" s="201"/>
      <c r="AI381" s="201"/>
      <c r="AJ381" s="201"/>
      <c r="AN381" s="201"/>
      <c r="AP381" s="201"/>
      <c r="AT381" s="201"/>
      <c r="AU381" s="201"/>
    </row>
    <row r="382" ht="15.75" customHeight="1">
      <c r="A382" s="200"/>
      <c r="B382" s="201"/>
      <c r="C382" s="201"/>
      <c r="D382" s="201"/>
      <c r="E382" s="201"/>
      <c r="F382" s="201"/>
      <c r="I382" s="201"/>
      <c r="N382" s="201"/>
      <c r="O382" s="201"/>
      <c r="S382" s="201"/>
      <c r="T382" s="201"/>
      <c r="AB382" s="201"/>
      <c r="AC382" s="201"/>
      <c r="AD382" s="201"/>
      <c r="AE382" s="201"/>
      <c r="AF382" s="201"/>
      <c r="AG382" s="201"/>
      <c r="AH382" s="201"/>
      <c r="AI382" s="201"/>
      <c r="AJ382" s="201"/>
      <c r="AN382" s="201"/>
      <c r="AP382" s="201"/>
      <c r="AT382" s="201"/>
      <c r="AU382" s="201"/>
    </row>
    <row r="383" ht="15.75" customHeight="1">
      <c r="A383" s="200"/>
      <c r="B383" s="201"/>
      <c r="C383" s="201"/>
      <c r="D383" s="201"/>
      <c r="E383" s="201"/>
      <c r="F383" s="201"/>
      <c r="I383" s="201"/>
      <c r="N383" s="201"/>
      <c r="O383" s="201"/>
      <c r="S383" s="201"/>
      <c r="T383" s="201"/>
      <c r="AB383" s="201"/>
      <c r="AC383" s="201"/>
      <c r="AD383" s="201"/>
      <c r="AE383" s="201"/>
      <c r="AF383" s="201"/>
      <c r="AG383" s="201"/>
      <c r="AH383" s="201"/>
      <c r="AI383" s="201"/>
      <c r="AJ383" s="201"/>
      <c r="AN383" s="201"/>
      <c r="AP383" s="201"/>
      <c r="AT383" s="201"/>
      <c r="AU383" s="201"/>
    </row>
    <row r="384" ht="15.75" customHeight="1">
      <c r="A384" s="200"/>
      <c r="B384" s="201"/>
      <c r="C384" s="201"/>
      <c r="D384" s="201"/>
      <c r="E384" s="201"/>
      <c r="F384" s="201"/>
      <c r="I384" s="201"/>
      <c r="N384" s="201"/>
      <c r="O384" s="201"/>
      <c r="S384" s="201"/>
      <c r="T384" s="201"/>
      <c r="AB384" s="201"/>
      <c r="AC384" s="201"/>
      <c r="AD384" s="201"/>
      <c r="AE384" s="201"/>
      <c r="AF384" s="201"/>
      <c r="AG384" s="201"/>
      <c r="AH384" s="201"/>
      <c r="AI384" s="201"/>
      <c r="AJ384" s="201"/>
      <c r="AN384" s="201"/>
      <c r="AP384" s="201"/>
      <c r="AT384" s="201"/>
      <c r="AU384" s="201"/>
    </row>
    <row r="385" ht="15.75" customHeight="1">
      <c r="A385" s="200"/>
      <c r="B385" s="201"/>
      <c r="C385" s="201"/>
      <c r="D385" s="201"/>
      <c r="E385" s="201"/>
      <c r="F385" s="201"/>
      <c r="I385" s="201"/>
      <c r="N385" s="201"/>
      <c r="O385" s="201"/>
      <c r="S385" s="201"/>
      <c r="T385" s="201"/>
      <c r="AB385" s="201"/>
      <c r="AC385" s="201"/>
      <c r="AD385" s="201"/>
      <c r="AE385" s="201"/>
      <c r="AF385" s="201"/>
      <c r="AG385" s="201"/>
      <c r="AH385" s="201"/>
      <c r="AI385" s="201"/>
      <c r="AJ385" s="201"/>
      <c r="AN385" s="201"/>
      <c r="AP385" s="201"/>
      <c r="AT385" s="201"/>
      <c r="AU385" s="201"/>
    </row>
    <row r="386" ht="15.75" customHeight="1">
      <c r="A386" s="200"/>
      <c r="B386" s="201"/>
      <c r="C386" s="201"/>
      <c r="D386" s="201"/>
      <c r="E386" s="201"/>
      <c r="F386" s="201"/>
      <c r="I386" s="201"/>
      <c r="N386" s="201"/>
      <c r="O386" s="201"/>
      <c r="S386" s="201"/>
      <c r="T386" s="201"/>
      <c r="AB386" s="201"/>
      <c r="AC386" s="201"/>
      <c r="AD386" s="201"/>
      <c r="AE386" s="201"/>
      <c r="AF386" s="201"/>
      <c r="AG386" s="201"/>
      <c r="AH386" s="201"/>
      <c r="AI386" s="201"/>
      <c r="AJ386" s="201"/>
      <c r="AN386" s="201"/>
      <c r="AP386" s="201"/>
      <c r="AT386" s="201"/>
      <c r="AU386" s="201"/>
    </row>
    <row r="387" ht="15.75" customHeight="1">
      <c r="A387" s="200"/>
      <c r="B387" s="201"/>
      <c r="C387" s="201"/>
      <c r="D387" s="201"/>
      <c r="E387" s="201"/>
      <c r="F387" s="201"/>
      <c r="I387" s="201"/>
      <c r="N387" s="201"/>
      <c r="O387" s="201"/>
      <c r="S387" s="201"/>
      <c r="T387" s="201"/>
      <c r="AB387" s="201"/>
      <c r="AC387" s="201"/>
      <c r="AD387" s="201"/>
      <c r="AE387" s="201"/>
      <c r="AF387" s="201"/>
      <c r="AG387" s="201"/>
      <c r="AH387" s="201"/>
      <c r="AI387" s="201"/>
      <c r="AJ387" s="201"/>
      <c r="AN387" s="201"/>
      <c r="AP387" s="201"/>
      <c r="AT387" s="201"/>
      <c r="AU387" s="201"/>
    </row>
    <row r="388" ht="15.75" customHeight="1">
      <c r="A388" s="200"/>
      <c r="B388" s="201"/>
      <c r="C388" s="201"/>
      <c r="D388" s="201"/>
      <c r="E388" s="201"/>
      <c r="F388" s="201"/>
      <c r="I388" s="201"/>
      <c r="N388" s="201"/>
      <c r="O388" s="201"/>
      <c r="S388" s="201"/>
      <c r="T388" s="201"/>
      <c r="AB388" s="201"/>
      <c r="AC388" s="201"/>
      <c r="AD388" s="201"/>
      <c r="AE388" s="201"/>
      <c r="AF388" s="201"/>
      <c r="AG388" s="201"/>
      <c r="AH388" s="201"/>
      <c r="AI388" s="201"/>
      <c r="AJ388" s="201"/>
      <c r="AN388" s="201"/>
      <c r="AP388" s="201"/>
      <c r="AT388" s="201"/>
      <c r="AU388" s="201"/>
    </row>
    <row r="389" ht="15.75" customHeight="1">
      <c r="A389" s="200"/>
      <c r="B389" s="201"/>
      <c r="C389" s="201"/>
      <c r="D389" s="201"/>
      <c r="E389" s="201"/>
      <c r="F389" s="201"/>
      <c r="I389" s="201"/>
      <c r="N389" s="201"/>
      <c r="O389" s="201"/>
      <c r="S389" s="201"/>
      <c r="T389" s="201"/>
      <c r="AB389" s="201"/>
      <c r="AC389" s="201"/>
      <c r="AD389" s="201"/>
      <c r="AE389" s="201"/>
      <c r="AF389" s="201"/>
      <c r="AG389" s="201"/>
      <c r="AH389" s="201"/>
      <c r="AI389" s="201"/>
      <c r="AJ389" s="201"/>
      <c r="AN389" s="201"/>
      <c r="AP389" s="201"/>
      <c r="AT389" s="201"/>
      <c r="AU389" s="201"/>
    </row>
    <row r="390" ht="15.75" customHeight="1">
      <c r="A390" s="200"/>
      <c r="B390" s="201"/>
      <c r="C390" s="201"/>
      <c r="D390" s="201"/>
      <c r="E390" s="201"/>
      <c r="F390" s="201"/>
      <c r="I390" s="201"/>
      <c r="N390" s="201"/>
      <c r="O390" s="201"/>
      <c r="S390" s="201"/>
      <c r="T390" s="201"/>
      <c r="AB390" s="201"/>
      <c r="AC390" s="201"/>
      <c r="AD390" s="201"/>
      <c r="AE390" s="201"/>
      <c r="AF390" s="201"/>
      <c r="AG390" s="201"/>
      <c r="AH390" s="201"/>
      <c r="AI390" s="201"/>
      <c r="AJ390" s="201"/>
      <c r="AN390" s="201"/>
      <c r="AP390" s="201"/>
      <c r="AT390" s="201"/>
      <c r="AU390" s="201"/>
    </row>
    <row r="391" ht="15.75" customHeight="1">
      <c r="A391" s="200"/>
      <c r="B391" s="201"/>
      <c r="C391" s="201"/>
      <c r="D391" s="201"/>
      <c r="E391" s="201"/>
      <c r="F391" s="201"/>
      <c r="I391" s="201"/>
      <c r="N391" s="201"/>
      <c r="O391" s="201"/>
      <c r="S391" s="201"/>
      <c r="T391" s="201"/>
      <c r="AB391" s="201"/>
      <c r="AC391" s="201"/>
      <c r="AD391" s="201"/>
      <c r="AE391" s="201"/>
      <c r="AF391" s="201"/>
      <c r="AG391" s="201"/>
      <c r="AH391" s="201"/>
      <c r="AI391" s="201"/>
      <c r="AJ391" s="201"/>
      <c r="AN391" s="201"/>
      <c r="AP391" s="201"/>
      <c r="AT391" s="201"/>
      <c r="AU391" s="201"/>
    </row>
    <row r="392" ht="15.75" customHeight="1">
      <c r="A392" s="200"/>
      <c r="B392" s="201"/>
      <c r="C392" s="201"/>
      <c r="D392" s="201"/>
      <c r="E392" s="201"/>
      <c r="F392" s="201"/>
      <c r="I392" s="201"/>
      <c r="N392" s="201"/>
      <c r="O392" s="201"/>
      <c r="S392" s="201"/>
      <c r="T392" s="201"/>
      <c r="AB392" s="201"/>
      <c r="AC392" s="201"/>
      <c r="AD392" s="201"/>
      <c r="AE392" s="201"/>
      <c r="AF392" s="201"/>
      <c r="AG392" s="201"/>
      <c r="AH392" s="201"/>
      <c r="AI392" s="201"/>
      <c r="AJ392" s="201"/>
      <c r="AN392" s="201"/>
      <c r="AP392" s="201"/>
      <c r="AT392" s="201"/>
      <c r="AU392" s="201"/>
    </row>
    <row r="393" ht="15.75" customHeight="1">
      <c r="A393" s="200"/>
      <c r="B393" s="201"/>
      <c r="C393" s="201"/>
      <c r="D393" s="201"/>
      <c r="E393" s="201"/>
      <c r="F393" s="201"/>
      <c r="I393" s="201"/>
      <c r="N393" s="201"/>
      <c r="O393" s="201"/>
      <c r="S393" s="201"/>
      <c r="T393" s="201"/>
      <c r="AB393" s="201"/>
      <c r="AC393" s="201"/>
      <c r="AD393" s="201"/>
      <c r="AE393" s="201"/>
      <c r="AF393" s="201"/>
      <c r="AG393" s="201"/>
      <c r="AH393" s="201"/>
      <c r="AI393" s="201"/>
      <c r="AJ393" s="201"/>
      <c r="AN393" s="201"/>
      <c r="AP393" s="201"/>
      <c r="AT393" s="201"/>
      <c r="AU393" s="201"/>
    </row>
    <row r="394" ht="15.75" customHeight="1">
      <c r="A394" s="200"/>
      <c r="B394" s="201"/>
      <c r="C394" s="201"/>
      <c r="D394" s="201"/>
      <c r="E394" s="201"/>
      <c r="F394" s="201"/>
      <c r="I394" s="201"/>
      <c r="N394" s="201"/>
      <c r="O394" s="201"/>
      <c r="S394" s="201"/>
      <c r="T394" s="201"/>
      <c r="AB394" s="201"/>
      <c r="AC394" s="201"/>
      <c r="AD394" s="201"/>
      <c r="AE394" s="201"/>
      <c r="AF394" s="201"/>
      <c r="AG394" s="201"/>
      <c r="AH394" s="201"/>
      <c r="AI394" s="201"/>
      <c r="AJ394" s="201"/>
      <c r="AN394" s="201"/>
      <c r="AP394" s="201"/>
      <c r="AT394" s="201"/>
      <c r="AU394" s="201"/>
    </row>
    <row r="395" ht="15.75" customHeight="1">
      <c r="A395" s="200"/>
      <c r="B395" s="201"/>
      <c r="C395" s="201"/>
      <c r="D395" s="201"/>
      <c r="E395" s="201"/>
      <c r="F395" s="201"/>
      <c r="I395" s="201"/>
      <c r="N395" s="201"/>
      <c r="O395" s="201"/>
      <c r="S395" s="201"/>
      <c r="T395" s="201"/>
      <c r="AB395" s="201"/>
      <c r="AC395" s="201"/>
      <c r="AD395" s="201"/>
      <c r="AE395" s="201"/>
      <c r="AF395" s="201"/>
      <c r="AG395" s="201"/>
      <c r="AH395" s="201"/>
      <c r="AI395" s="201"/>
      <c r="AJ395" s="201"/>
      <c r="AN395" s="201"/>
      <c r="AP395" s="201"/>
      <c r="AT395" s="201"/>
      <c r="AU395" s="201"/>
    </row>
    <row r="396" ht="15.75" customHeight="1">
      <c r="A396" s="200"/>
      <c r="B396" s="201"/>
      <c r="C396" s="201"/>
      <c r="D396" s="201"/>
      <c r="E396" s="201"/>
      <c r="F396" s="201"/>
      <c r="I396" s="201"/>
      <c r="N396" s="201"/>
      <c r="O396" s="201"/>
      <c r="S396" s="201"/>
      <c r="T396" s="201"/>
      <c r="AB396" s="201"/>
      <c r="AC396" s="201"/>
      <c r="AD396" s="201"/>
      <c r="AE396" s="201"/>
      <c r="AF396" s="201"/>
      <c r="AG396" s="201"/>
      <c r="AH396" s="201"/>
      <c r="AI396" s="201"/>
      <c r="AJ396" s="201"/>
      <c r="AN396" s="201"/>
      <c r="AP396" s="201"/>
      <c r="AT396" s="201"/>
      <c r="AU396" s="201"/>
    </row>
    <row r="397" ht="15.75" customHeight="1">
      <c r="A397" s="200"/>
      <c r="B397" s="201"/>
      <c r="C397" s="201"/>
      <c r="D397" s="201"/>
      <c r="E397" s="201"/>
      <c r="F397" s="201"/>
      <c r="I397" s="201"/>
      <c r="N397" s="201"/>
      <c r="O397" s="201"/>
      <c r="S397" s="201"/>
      <c r="T397" s="201"/>
      <c r="AB397" s="201"/>
      <c r="AC397" s="201"/>
      <c r="AD397" s="201"/>
      <c r="AE397" s="201"/>
      <c r="AF397" s="201"/>
      <c r="AG397" s="201"/>
      <c r="AH397" s="201"/>
      <c r="AI397" s="201"/>
      <c r="AJ397" s="201"/>
      <c r="AN397" s="201"/>
      <c r="AP397" s="201"/>
      <c r="AT397" s="201"/>
      <c r="AU397" s="201"/>
    </row>
    <row r="398" ht="15.75" customHeight="1">
      <c r="A398" s="200"/>
      <c r="B398" s="201"/>
      <c r="C398" s="201"/>
      <c r="D398" s="201"/>
      <c r="E398" s="201"/>
      <c r="F398" s="201"/>
      <c r="I398" s="201"/>
      <c r="N398" s="201"/>
      <c r="O398" s="201"/>
      <c r="S398" s="201"/>
      <c r="T398" s="201"/>
      <c r="AB398" s="201"/>
      <c r="AC398" s="201"/>
      <c r="AD398" s="201"/>
      <c r="AE398" s="201"/>
      <c r="AF398" s="201"/>
      <c r="AG398" s="201"/>
      <c r="AH398" s="201"/>
      <c r="AI398" s="201"/>
      <c r="AJ398" s="201"/>
      <c r="AN398" s="201"/>
      <c r="AP398" s="201"/>
      <c r="AT398" s="201"/>
      <c r="AU398" s="201"/>
    </row>
    <row r="399" ht="15.75" customHeight="1">
      <c r="A399" s="200"/>
      <c r="B399" s="201"/>
      <c r="C399" s="201"/>
      <c r="D399" s="201"/>
      <c r="E399" s="201"/>
      <c r="F399" s="201"/>
      <c r="I399" s="201"/>
      <c r="N399" s="201"/>
      <c r="O399" s="201"/>
      <c r="S399" s="201"/>
      <c r="T399" s="201"/>
      <c r="AB399" s="201"/>
      <c r="AC399" s="201"/>
      <c r="AD399" s="201"/>
      <c r="AE399" s="201"/>
      <c r="AF399" s="201"/>
      <c r="AG399" s="201"/>
      <c r="AH399" s="201"/>
      <c r="AI399" s="201"/>
      <c r="AJ399" s="201"/>
      <c r="AN399" s="201"/>
      <c r="AP399" s="201"/>
      <c r="AT399" s="201"/>
      <c r="AU399" s="201"/>
    </row>
    <row r="400" ht="15.75" customHeight="1">
      <c r="A400" s="200"/>
      <c r="B400" s="201"/>
      <c r="C400" s="201"/>
      <c r="D400" s="201"/>
      <c r="E400" s="201"/>
      <c r="F400" s="201"/>
      <c r="I400" s="201"/>
      <c r="N400" s="201"/>
      <c r="O400" s="201"/>
      <c r="S400" s="201"/>
      <c r="T400" s="201"/>
      <c r="AB400" s="201"/>
      <c r="AC400" s="201"/>
      <c r="AD400" s="201"/>
      <c r="AE400" s="201"/>
      <c r="AF400" s="201"/>
      <c r="AG400" s="201"/>
      <c r="AH400" s="201"/>
      <c r="AI400" s="201"/>
      <c r="AJ400" s="201"/>
      <c r="AN400" s="201"/>
      <c r="AP400" s="201"/>
      <c r="AT400" s="201"/>
      <c r="AU400" s="201"/>
    </row>
    <row r="401" ht="15.75" customHeight="1">
      <c r="A401" s="200"/>
      <c r="B401" s="201"/>
      <c r="C401" s="201"/>
      <c r="D401" s="201"/>
      <c r="E401" s="201"/>
      <c r="F401" s="201"/>
      <c r="I401" s="201"/>
      <c r="N401" s="201"/>
      <c r="O401" s="201"/>
      <c r="S401" s="201"/>
      <c r="T401" s="201"/>
      <c r="AB401" s="201"/>
      <c r="AC401" s="201"/>
      <c r="AD401" s="201"/>
      <c r="AE401" s="201"/>
      <c r="AF401" s="201"/>
      <c r="AG401" s="201"/>
      <c r="AH401" s="201"/>
      <c r="AI401" s="201"/>
      <c r="AJ401" s="201"/>
      <c r="AN401" s="201"/>
      <c r="AP401" s="201"/>
      <c r="AT401" s="201"/>
      <c r="AU401" s="201"/>
    </row>
    <row r="402" ht="15.75" customHeight="1">
      <c r="A402" s="200"/>
      <c r="B402" s="201"/>
      <c r="C402" s="201"/>
      <c r="D402" s="201"/>
      <c r="E402" s="201"/>
      <c r="F402" s="201"/>
      <c r="I402" s="201"/>
      <c r="N402" s="201"/>
      <c r="O402" s="201"/>
      <c r="S402" s="201"/>
      <c r="T402" s="201"/>
      <c r="AB402" s="201"/>
      <c r="AC402" s="201"/>
      <c r="AD402" s="201"/>
      <c r="AE402" s="201"/>
      <c r="AF402" s="201"/>
      <c r="AG402" s="201"/>
      <c r="AH402" s="201"/>
      <c r="AI402" s="201"/>
      <c r="AJ402" s="201"/>
      <c r="AN402" s="201"/>
      <c r="AP402" s="201"/>
      <c r="AT402" s="201"/>
      <c r="AU402" s="201"/>
    </row>
    <row r="403" ht="15.75" customHeight="1">
      <c r="A403" s="200"/>
      <c r="B403" s="201"/>
      <c r="C403" s="201"/>
      <c r="D403" s="201"/>
      <c r="E403" s="201"/>
      <c r="F403" s="201"/>
      <c r="I403" s="201"/>
      <c r="N403" s="201"/>
      <c r="O403" s="201"/>
      <c r="S403" s="201"/>
      <c r="T403" s="201"/>
      <c r="AB403" s="201"/>
      <c r="AC403" s="201"/>
      <c r="AD403" s="201"/>
      <c r="AE403" s="201"/>
      <c r="AF403" s="201"/>
      <c r="AG403" s="201"/>
      <c r="AH403" s="201"/>
      <c r="AI403" s="201"/>
      <c r="AJ403" s="201"/>
      <c r="AN403" s="201"/>
      <c r="AP403" s="201"/>
      <c r="AT403" s="201"/>
      <c r="AU403" s="201"/>
    </row>
    <row r="404" ht="15.75" customHeight="1">
      <c r="A404" s="200"/>
      <c r="B404" s="201"/>
      <c r="C404" s="201"/>
      <c r="D404" s="201"/>
      <c r="E404" s="201"/>
      <c r="F404" s="201"/>
      <c r="I404" s="201"/>
      <c r="N404" s="201"/>
      <c r="O404" s="201"/>
      <c r="S404" s="201"/>
      <c r="T404" s="201"/>
      <c r="AB404" s="201"/>
      <c r="AC404" s="201"/>
      <c r="AD404" s="201"/>
      <c r="AE404" s="201"/>
      <c r="AF404" s="201"/>
      <c r="AG404" s="201"/>
      <c r="AH404" s="201"/>
      <c r="AI404" s="201"/>
      <c r="AJ404" s="201"/>
      <c r="AN404" s="201"/>
      <c r="AP404" s="201"/>
      <c r="AT404" s="201"/>
      <c r="AU404" s="201"/>
    </row>
    <row r="405" ht="15.75" customHeight="1">
      <c r="A405" s="200"/>
      <c r="B405" s="201"/>
      <c r="C405" s="201"/>
      <c r="D405" s="201"/>
      <c r="E405" s="201"/>
      <c r="F405" s="201"/>
      <c r="I405" s="201"/>
      <c r="N405" s="201"/>
      <c r="O405" s="201"/>
      <c r="S405" s="201"/>
      <c r="T405" s="201"/>
      <c r="AB405" s="201"/>
      <c r="AC405" s="201"/>
      <c r="AD405" s="201"/>
      <c r="AE405" s="201"/>
      <c r="AF405" s="201"/>
      <c r="AG405" s="201"/>
      <c r="AH405" s="201"/>
      <c r="AI405" s="201"/>
      <c r="AJ405" s="201"/>
      <c r="AN405" s="201"/>
      <c r="AP405" s="201"/>
      <c r="AT405" s="201"/>
      <c r="AU405" s="201"/>
    </row>
    <row r="406" ht="15.75" customHeight="1">
      <c r="A406" s="200"/>
      <c r="B406" s="201"/>
      <c r="C406" s="201"/>
      <c r="D406" s="201"/>
      <c r="E406" s="201"/>
      <c r="F406" s="201"/>
      <c r="I406" s="201"/>
      <c r="N406" s="201"/>
      <c r="O406" s="201"/>
      <c r="S406" s="201"/>
      <c r="T406" s="201"/>
      <c r="AB406" s="201"/>
      <c r="AC406" s="201"/>
      <c r="AD406" s="201"/>
      <c r="AE406" s="201"/>
      <c r="AF406" s="201"/>
      <c r="AG406" s="201"/>
      <c r="AH406" s="201"/>
      <c r="AI406" s="201"/>
      <c r="AJ406" s="201"/>
      <c r="AN406" s="201"/>
      <c r="AP406" s="201"/>
      <c r="AT406" s="201"/>
      <c r="AU406" s="201"/>
    </row>
    <row r="407" ht="15.75" customHeight="1">
      <c r="A407" s="200"/>
      <c r="B407" s="201"/>
      <c r="C407" s="201"/>
      <c r="D407" s="201"/>
      <c r="E407" s="201"/>
      <c r="F407" s="201"/>
      <c r="I407" s="201"/>
      <c r="N407" s="201"/>
      <c r="O407" s="201"/>
      <c r="S407" s="201"/>
      <c r="T407" s="201"/>
      <c r="AB407" s="201"/>
      <c r="AC407" s="201"/>
      <c r="AD407" s="201"/>
      <c r="AE407" s="201"/>
      <c r="AF407" s="201"/>
      <c r="AG407" s="201"/>
      <c r="AH407" s="201"/>
      <c r="AI407" s="201"/>
      <c r="AJ407" s="201"/>
      <c r="AN407" s="201"/>
      <c r="AP407" s="201"/>
      <c r="AT407" s="201"/>
      <c r="AU407" s="201"/>
    </row>
    <row r="408" ht="15.75" customHeight="1">
      <c r="A408" s="200"/>
      <c r="B408" s="201"/>
      <c r="C408" s="201"/>
      <c r="D408" s="201"/>
      <c r="E408" s="201"/>
      <c r="F408" s="201"/>
      <c r="I408" s="201"/>
      <c r="N408" s="201"/>
      <c r="O408" s="201"/>
      <c r="S408" s="201"/>
      <c r="T408" s="201"/>
      <c r="AB408" s="201"/>
      <c r="AC408" s="201"/>
      <c r="AD408" s="201"/>
      <c r="AE408" s="201"/>
      <c r="AF408" s="201"/>
      <c r="AG408" s="201"/>
      <c r="AH408" s="201"/>
      <c r="AI408" s="201"/>
      <c r="AJ408" s="201"/>
      <c r="AN408" s="201"/>
      <c r="AP408" s="201"/>
      <c r="AT408" s="201"/>
      <c r="AU408" s="201"/>
    </row>
    <row r="409" ht="15.75" customHeight="1">
      <c r="A409" s="200"/>
      <c r="B409" s="201"/>
      <c r="C409" s="201"/>
      <c r="D409" s="201"/>
      <c r="E409" s="201"/>
      <c r="F409" s="201"/>
      <c r="I409" s="201"/>
      <c r="N409" s="201"/>
      <c r="O409" s="201"/>
      <c r="S409" s="201"/>
      <c r="T409" s="201"/>
      <c r="AB409" s="201"/>
      <c r="AC409" s="201"/>
      <c r="AD409" s="201"/>
      <c r="AE409" s="201"/>
      <c r="AF409" s="201"/>
      <c r="AG409" s="201"/>
      <c r="AH409" s="201"/>
      <c r="AI409" s="201"/>
      <c r="AJ409" s="201"/>
      <c r="AN409" s="201"/>
      <c r="AP409" s="201"/>
      <c r="AT409" s="201"/>
      <c r="AU409" s="201"/>
    </row>
    <row r="410" ht="15.75" customHeight="1">
      <c r="A410" s="200"/>
      <c r="B410" s="201"/>
      <c r="C410" s="201"/>
      <c r="D410" s="201"/>
      <c r="E410" s="201"/>
      <c r="F410" s="201"/>
      <c r="I410" s="201"/>
      <c r="N410" s="201"/>
      <c r="O410" s="201"/>
      <c r="S410" s="201"/>
      <c r="T410" s="201"/>
      <c r="AB410" s="201"/>
      <c r="AC410" s="201"/>
      <c r="AD410" s="201"/>
      <c r="AE410" s="201"/>
      <c r="AF410" s="201"/>
      <c r="AG410" s="201"/>
      <c r="AH410" s="201"/>
      <c r="AI410" s="201"/>
      <c r="AJ410" s="201"/>
      <c r="AN410" s="201"/>
      <c r="AP410" s="201"/>
      <c r="AT410" s="201"/>
      <c r="AU410" s="201"/>
    </row>
    <row r="411" ht="15.75" customHeight="1">
      <c r="A411" s="200"/>
      <c r="B411" s="201"/>
      <c r="C411" s="201"/>
      <c r="D411" s="201"/>
      <c r="E411" s="201"/>
      <c r="F411" s="201"/>
      <c r="I411" s="201"/>
      <c r="N411" s="201"/>
      <c r="O411" s="201"/>
      <c r="S411" s="201"/>
      <c r="T411" s="201"/>
      <c r="AB411" s="201"/>
      <c r="AC411" s="201"/>
      <c r="AD411" s="201"/>
      <c r="AE411" s="201"/>
      <c r="AF411" s="201"/>
      <c r="AG411" s="201"/>
      <c r="AH411" s="201"/>
      <c r="AI411" s="201"/>
      <c r="AJ411" s="201"/>
      <c r="AN411" s="201"/>
      <c r="AP411" s="201"/>
      <c r="AT411" s="201"/>
      <c r="AU411" s="201"/>
    </row>
    <row r="412" ht="15.75" customHeight="1">
      <c r="A412" s="200"/>
      <c r="B412" s="201"/>
      <c r="C412" s="201"/>
      <c r="D412" s="201"/>
      <c r="E412" s="201"/>
      <c r="F412" s="201"/>
      <c r="I412" s="201"/>
      <c r="N412" s="201"/>
      <c r="O412" s="201"/>
      <c r="S412" s="201"/>
      <c r="T412" s="201"/>
      <c r="AB412" s="201"/>
      <c r="AC412" s="201"/>
      <c r="AD412" s="201"/>
      <c r="AE412" s="201"/>
      <c r="AF412" s="201"/>
      <c r="AG412" s="201"/>
      <c r="AH412" s="201"/>
      <c r="AI412" s="201"/>
      <c r="AJ412" s="201"/>
      <c r="AN412" s="201"/>
      <c r="AP412" s="201"/>
      <c r="AT412" s="201"/>
      <c r="AU412" s="201"/>
    </row>
    <row r="413" ht="15.75" customHeight="1">
      <c r="A413" s="200"/>
      <c r="B413" s="201"/>
      <c r="C413" s="201"/>
      <c r="D413" s="201"/>
      <c r="E413" s="201"/>
      <c r="F413" s="201"/>
      <c r="I413" s="201"/>
      <c r="N413" s="201"/>
      <c r="O413" s="201"/>
      <c r="S413" s="201"/>
      <c r="T413" s="201"/>
      <c r="AB413" s="201"/>
      <c r="AC413" s="201"/>
      <c r="AD413" s="201"/>
      <c r="AE413" s="201"/>
      <c r="AF413" s="201"/>
      <c r="AG413" s="201"/>
      <c r="AH413" s="201"/>
      <c r="AI413" s="201"/>
      <c r="AJ413" s="201"/>
      <c r="AN413" s="201"/>
      <c r="AP413" s="201"/>
      <c r="AT413" s="201"/>
      <c r="AU413" s="201"/>
    </row>
    <row r="414" ht="15.75" customHeight="1">
      <c r="A414" s="200"/>
      <c r="B414" s="201"/>
      <c r="C414" s="201"/>
      <c r="D414" s="201"/>
      <c r="E414" s="201"/>
      <c r="F414" s="201"/>
      <c r="I414" s="201"/>
      <c r="N414" s="201"/>
      <c r="O414" s="201"/>
      <c r="S414" s="201"/>
      <c r="T414" s="201"/>
      <c r="AB414" s="201"/>
      <c r="AC414" s="201"/>
      <c r="AD414" s="201"/>
      <c r="AE414" s="201"/>
      <c r="AF414" s="201"/>
      <c r="AG414" s="201"/>
      <c r="AH414" s="201"/>
      <c r="AI414" s="201"/>
      <c r="AJ414" s="201"/>
      <c r="AN414" s="201"/>
      <c r="AP414" s="201"/>
      <c r="AT414" s="201"/>
      <c r="AU414" s="201"/>
    </row>
    <row r="415" ht="15.75" customHeight="1">
      <c r="A415" s="200"/>
      <c r="B415" s="201"/>
      <c r="C415" s="201"/>
      <c r="D415" s="201"/>
      <c r="E415" s="201"/>
      <c r="F415" s="201"/>
      <c r="I415" s="201"/>
      <c r="N415" s="201"/>
      <c r="O415" s="201"/>
      <c r="S415" s="201"/>
      <c r="T415" s="201"/>
      <c r="AB415" s="201"/>
      <c r="AC415" s="201"/>
      <c r="AD415" s="201"/>
      <c r="AE415" s="201"/>
      <c r="AF415" s="201"/>
      <c r="AG415" s="201"/>
      <c r="AH415" s="201"/>
      <c r="AI415" s="201"/>
      <c r="AJ415" s="201"/>
      <c r="AN415" s="201"/>
      <c r="AP415" s="201"/>
      <c r="AT415" s="201"/>
      <c r="AU415" s="201"/>
    </row>
    <row r="416" ht="15.75" customHeight="1">
      <c r="A416" s="200"/>
      <c r="B416" s="201"/>
      <c r="C416" s="201"/>
      <c r="D416" s="201"/>
      <c r="E416" s="201"/>
      <c r="F416" s="201"/>
      <c r="I416" s="201"/>
      <c r="N416" s="201"/>
      <c r="O416" s="201"/>
      <c r="S416" s="201"/>
      <c r="T416" s="201"/>
      <c r="AB416" s="201"/>
      <c r="AC416" s="201"/>
      <c r="AD416" s="201"/>
      <c r="AE416" s="201"/>
      <c r="AF416" s="201"/>
      <c r="AG416" s="201"/>
      <c r="AH416" s="201"/>
      <c r="AI416" s="201"/>
      <c r="AJ416" s="201"/>
      <c r="AN416" s="201"/>
      <c r="AP416" s="201"/>
      <c r="AT416" s="201"/>
      <c r="AU416" s="201"/>
    </row>
    <row r="417" ht="15.75" customHeight="1">
      <c r="A417" s="200"/>
      <c r="B417" s="201"/>
      <c r="C417" s="201"/>
      <c r="D417" s="201"/>
      <c r="E417" s="201"/>
      <c r="F417" s="201"/>
      <c r="I417" s="201"/>
      <c r="N417" s="201"/>
      <c r="O417" s="201"/>
      <c r="S417" s="201"/>
      <c r="T417" s="201"/>
      <c r="AB417" s="201"/>
      <c r="AC417" s="201"/>
      <c r="AD417" s="201"/>
      <c r="AE417" s="201"/>
      <c r="AF417" s="201"/>
      <c r="AG417" s="201"/>
      <c r="AH417" s="201"/>
      <c r="AI417" s="201"/>
      <c r="AJ417" s="201"/>
      <c r="AN417" s="201"/>
      <c r="AP417" s="201"/>
      <c r="AT417" s="201"/>
      <c r="AU417" s="201"/>
    </row>
    <row r="418" ht="15.75" customHeight="1">
      <c r="A418" s="200"/>
      <c r="B418" s="201"/>
      <c r="C418" s="201"/>
      <c r="D418" s="201"/>
      <c r="E418" s="201"/>
      <c r="F418" s="201"/>
      <c r="I418" s="201"/>
      <c r="N418" s="201"/>
      <c r="O418" s="201"/>
      <c r="S418" s="201"/>
      <c r="T418" s="201"/>
      <c r="AB418" s="201"/>
      <c r="AC418" s="201"/>
      <c r="AD418" s="201"/>
      <c r="AE418" s="201"/>
      <c r="AF418" s="201"/>
      <c r="AG418" s="201"/>
      <c r="AH418" s="201"/>
      <c r="AI418" s="201"/>
      <c r="AJ418" s="201"/>
      <c r="AN418" s="201"/>
      <c r="AP418" s="201"/>
      <c r="AT418" s="201"/>
      <c r="AU418" s="201"/>
    </row>
    <row r="419" ht="15.75" customHeight="1">
      <c r="A419" s="200"/>
      <c r="B419" s="201"/>
      <c r="C419" s="201"/>
      <c r="D419" s="201"/>
      <c r="E419" s="201"/>
      <c r="F419" s="201"/>
      <c r="I419" s="201"/>
      <c r="N419" s="201"/>
      <c r="O419" s="201"/>
      <c r="S419" s="201"/>
      <c r="T419" s="201"/>
      <c r="AB419" s="201"/>
      <c r="AC419" s="201"/>
      <c r="AD419" s="201"/>
      <c r="AE419" s="201"/>
      <c r="AF419" s="201"/>
      <c r="AG419" s="201"/>
      <c r="AH419" s="201"/>
      <c r="AI419" s="201"/>
      <c r="AJ419" s="201"/>
      <c r="AN419" s="201"/>
      <c r="AP419" s="201"/>
      <c r="AT419" s="201"/>
      <c r="AU419" s="201"/>
    </row>
    <row r="420" ht="15.75" customHeight="1">
      <c r="A420" s="200"/>
      <c r="B420" s="201"/>
      <c r="C420" s="201"/>
      <c r="D420" s="201"/>
      <c r="E420" s="201"/>
      <c r="F420" s="201"/>
      <c r="I420" s="201"/>
      <c r="N420" s="201"/>
      <c r="O420" s="201"/>
      <c r="S420" s="201"/>
      <c r="T420" s="201"/>
      <c r="AB420" s="201"/>
      <c r="AC420" s="201"/>
      <c r="AD420" s="201"/>
      <c r="AE420" s="201"/>
      <c r="AF420" s="201"/>
      <c r="AG420" s="201"/>
      <c r="AH420" s="201"/>
      <c r="AI420" s="201"/>
      <c r="AJ420" s="201"/>
      <c r="AN420" s="201"/>
      <c r="AP420" s="201"/>
      <c r="AT420" s="201"/>
      <c r="AU420" s="201"/>
    </row>
    <row r="421" ht="15.75" customHeight="1">
      <c r="A421" s="200"/>
      <c r="B421" s="201"/>
      <c r="C421" s="201"/>
      <c r="D421" s="201"/>
      <c r="E421" s="201"/>
      <c r="F421" s="201"/>
      <c r="I421" s="201"/>
      <c r="N421" s="201"/>
      <c r="O421" s="201"/>
      <c r="S421" s="201"/>
      <c r="T421" s="201"/>
      <c r="AB421" s="201"/>
      <c r="AC421" s="201"/>
      <c r="AD421" s="201"/>
      <c r="AE421" s="201"/>
      <c r="AF421" s="201"/>
      <c r="AG421" s="201"/>
      <c r="AH421" s="201"/>
      <c r="AI421" s="201"/>
      <c r="AJ421" s="201"/>
      <c r="AN421" s="201"/>
      <c r="AP421" s="201"/>
      <c r="AT421" s="201"/>
      <c r="AU421" s="201"/>
    </row>
    <row r="422" ht="15.75" customHeight="1">
      <c r="A422" s="200"/>
      <c r="B422" s="201"/>
      <c r="C422" s="201"/>
      <c r="D422" s="201"/>
      <c r="E422" s="201"/>
      <c r="F422" s="201"/>
      <c r="I422" s="201"/>
      <c r="N422" s="201"/>
      <c r="O422" s="201"/>
      <c r="S422" s="201"/>
      <c r="T422" s="201"/>
      <c r="AB422" s="201"/>
      <c r="AC422" s="201"/>
      <c r="AD422" s="201"/>
      <c r="AE422" s="201"/>
      <c r="AF422" s="201"/>
      <c r="AG422" s="201"/>
      <c r="AH422" s="201"/>
      <c r="AI422" s="201"/>
      <c r="AJ422" s="201"/>
      <c r="AN422" s="201"/>
      <c r="AP422" s="201"/>
      <c r="AT422" s="201"/>
      <c r="AU422" s="201"/>
    </row>
    <row r="423" ht="15.75" customHeight="1">
      <c r="A423" s="200"/>
      <c r="B423" s="201"/>
      <c r="C423" s="201"/>
      <c r="D423" s="201"/>
      <c r="E423" s="201"/>
      <c r="F423" s="201"/>
      <c r="I423" s="201"/>
      <c r="N423" s="201"/>
      <c r="O423" s="201"/>
      <c r="S423" s="201"/>
      <c r="T423" s="201"/>
      <c r="AB423" s="201"/>
      <c r="AC423" s="201"/>
      <c r="AD423" s="201"/>
      <c r="AE423" s="201"/>
      <c r="AF423" s="201"/>
      <c r="AG423" s="201"/>
      <c r="AH423" s="201"/>
      <c r="AI423" s="201"/>
      <c r="AJ423" s="201"/>
      <c r="AN423" s="201"/>
      <c r="AP423" s="201"/>
      <c r="AT423" s="201"/>
      <c r="AU423" s="201"/>
    </row>
    <row r="424" ht="15.75" customHeight="1">
      <c r="A424" s="200"/>
      <c r="B424" s="201"/>
      <c r="C424" s="201"/>
      <c r="D424" s="201"/>
      <c r="E424" s="201"/>
      <c r="F424" s="201"/>
      <c r="I424" s="201"/>
      <c r="N424" s="201"/>
      <c r="O424" s="201"/>
      <c r="S424" s="201"/>
      <c r="T424" s="201"/>
      <c r="AB424" s="201"/>
      <c r="AC424" s="201"/>
      <c r="AD424" s="201"/>
      <c r="AE424" s="201"/>
      <c r="AF424" s="201"/>
      <c r="AG424" s="201"/>
      <c r="AH424" s="201"/>
      <c r="AI424" s="201"/>
      <c r="AJ424" s="201"/>
      <c r="AN424" s="201"/>
      <c r="AP424" s="201"/>
      <c r="AT424" s="201"/>
      <c r="AU424" s="201"/>
    </row>
    <row r="425" ht="15.75" customHeight="1">
      <c r="A425" s="200"/>
      <c r="B425" s="201"/>
      <c r="C425" s="201"/>
      <c r="D425" s="201"/>
      <c r="E425" s="201"/>
      <c r="F425" s="201"/>
      <c r="I425" s="201"/>
      <c r="N425" s="201"/>
      <c r="O425" s="201"/>
      <c r="S425" s="201"/>
      <c r="T425" s="201"/>
      <c r="AB425" s="201"/>
      <c r="AC425" s="201"/>
      <c r="AD425" s="201"/>
      <c r="AE425" s="201"/>
      <c r="AF425" s="201"/>
      <c r="AG425" s="201"/>
      <c r="AH425" s="201"/>
      <c r="AI425" s="201"/>
      <c r="AJ425" s="201"/>
      <c r="AN425" s="201"/>
      <c r="AP425" s="201"/>
      <c r="AT425" s="201"/>
      <c r="AU425" s="201"/>
    </row>
    <row r="426" ht="15.75" customHeight="1">
      <c r="A426" s="200"/>
      <c r="B426" s="201"/>
      <c r="C426" s="201"/>
      <c r="D426" s="201"/>
      <c r="E426" s="201"/>
      <c r="F426" s="201"/>
      <c r="I426" s="201"/>
      <c r="N426" s="201"/>
      <c r="O426" s="201"/>
      <c r="S426" s="201"/>
      <c r="T426" s="201"/>
      <c r="AB426" s="201"/>
      <c r="AC426" s="201"/>
      <c r="AD426" s="201"/>
      <c r="AE426" s="201"/>
      <c r="AF426" s="201"/>
      <c r="AG426" s="201"/>
      <c r="AH426" s="201"/>
      <c r="AI426" s="201"/>
      <c r="AJ426" s="201"/>
      <c r="AN426" s="201"/>
      <c r="AP426" s="201"/>
      <c r="AT426" s="201"/>
      <c r="AU426" s="201"/>
    </row>
    <row r="427" ht="15.75" customHeight="1">
      <c r="A427" s="200"/>
      <c r="B427" s="201"/>
      <c r="C427" s="201"/>
      <c r="D427" s="201"/>
      <c r="E427" s="201"/>
      <c r="F427" s="201"/>
      <c r="I427" s="201"/>
      <c r="N427" s="201"/>
      <c r="O427" s="201"/>
      <c r="S427" s="201"/>
      <c r="T427" s="201"/>
      <c r="AB427" s="201"/>
      <c r="AC427" s="201"/>
      <c r="AD427" s="201"/>
      <c r="AE427" s="201"/>
      <c r="AF427" s="201"/>
      <c r="AG427" s="201"/>
      <c r="AH427" s="201"/>
      <c r="AI427" s="201"/>
      <c r="AJ427" s="201"/>
      <c r="AN427" s="201"/>
      <c r="AP427" s="201"/>
      <c r="AT427" s="201"/>
      <c r="AU427" s="201"/>
    </row>
    <row r="428" ht="15.75" customHeight="1">
      <c r="A428" s="200"/>
      <c r="B428" s="201"/>
      <c r="C428" s="201"/>
      <c r="D428" s="201"/>
      <c r="E428" s="201"/>
      <c r="F428" s="201"/>
      <c r="I428" s="201"/>
      <c r="N428" s="201"/>
      <c r="O428" s="201"/>
      <c r="S428" s="201"/>
      <c r="T428" s="201"/>
      <c r="AB428" s="201"/>
      <c r="AC428" s="201"/>
      <c r="AD428" s="201"/>
      <c r="AE428" s="201"/>
      <c r="AF428" s="201"/>
      <c r="AG428" s="201"/>
      <c r="AH428" s="201"/>
      <c r="AI428" s="201"/>
      <c r="AJ428" s="201"/>
      <c r="AN428" s="201"/>
      <c r="AP428" s="201"/>
      <c r="AT428" s="201"/>
      <c r="AU428" s="201"/>
    </row>
    <row r="429" ht="15.75" customHeight="1">
      <c r="A429" s="200"/>
      <c r="B429" s="201"/>
      <c r="C429" s="201"/>
      <c r="D429" s="201"/>
      <c r="E429" s="201"/>
      <c r="F429" s="201"/>
      <c r="I429" s="201"/>
      <c r="N429" s="201"/>
      <c r="O429" s="201"/>
      <c r="S429" s="201"/>
      <c r="T429" s="201"/>
      <c r="AB429" s="201"/>
      <c r="AC429" s="201"/>
      <c r="AD429" s="201"/>
      <c r="AE429" s="201"/>
      <c r="AF429" s="201"/>
      <c r="AG429" s="201"/>
      <c r="AH429" s="201"/>
      <c r="AI429" s="201"/>
      <c r="AJ429" s="201"/>
      <c r="AN429" s="201"/>
      <c r="AP429" s="201"/>
      <c r="AT429" s="201"/>
      <c r="AU429" s="201"/>
    </row>
    <row r="430" ht="15.75" customHeight="1">
      <c r="A430" s="200"/>
      <c r="B430" s="201"/>
      <c r="C430" s="201"/>
      <c r="D430" s="201"/>
      <c r="E430" s="201"/>
      <c r="F430" s="201"/>
      <c r="I430" s="201"/>
      <c r="N430" s="201"/>
      <c r="O430" s="201"/>
      <c r="S430" s="201"/>
      <c r="T430" s="201"/>
      <c r="AB430" s="201"/>
      <c r="AC430" s="201"/>
      <c r="AD430" s="201"/>
      <c r="AE430" s="201"/>
      <c r="AF430" s="201"/>
      <c r="AG430" s="201"/>
      <c r="AH430" s="201"/>
      <c r="AI430" s="201"/>
      <c r="AJ430" s="201"/>
      <c r="AN430" s="201"/>
      <c r="AP430" s="201"/>
      <c r="AT430" s="201"/>
      <c r="AU430" s="201"/>
    </row>
    <row r="431" ht="15.75" customHeight="1">
      <c r="A431" s="200"/>
      <c r="B431" s="201"/>
      <c r="C431" s="201"/>
      <c r="D431" s="201"/>
      <c r="E431" s="201"/>
      <c r="F431" s="201"/>
      <c r="I431" s="201"/>
      <c r="N431" s="201"/>
      <c r="O431" s="201"/>
      <c r="S431" s="201"/>
      <c r="T431" s="201"/>
      <c r="AB431" s="201"/>
      <c r="AC431" s="201"/>
      <c r="AD431" s="201"/>
      <c r="AE431" s="201"/>
      <c r="AF431" s="201"/>
      <c r="AG431" s="201"/>
      <c r="AH431" s="201"/>
      <c r="AI431" s="201"/>
      <c r="AJ431" s="201"/>
      <c r="AN431" s="201"/>
      <c r="AP431" s="201"/>
      <c r="AT431" s="201"/>
      <c r="AU431" s="201"/>
    </row>
    <row r="432" ht="15.75" customHeight="1">
      <c r="A432" s="200"/>
      <c r="B432" s="201"/>
      <c r="C432" s="201"/>
      <c r="D432" s="201"/>
      <c r="E432" s="201"/>
      <c r="F432" s="201"/>
      <c r="I432" s="201"/>
      <c r="N432" s="201"/>
      <c r="O432" s="201"/>
      <c r="S432" s="201"/>
      <c r="T432" s="201"/>
      <c r="AB432" s="201"/>
      <c r="AC432" s="201"/>
      <c r="AD432" s="201"/>
      <c r="AE432" s="201"/>
      <c r="AF432" s="201"/>
      <c r="AG432" s="201"/>
      <c r="AH432" s="201"/>
      <c r="AI432" s="201"/>
      <c r="AJ432" s="201"/>
      <c r="AN432" s="201"/>
      <c r="AP432" s="201"/>
      <c r="AT432" s="201"/>
      <c r="AU432" s="201"/>
    </row>
    <row r="433" ht="15.75" customHeight="1">
      <c r="A433" s="200"/>
      <c r="B433" s="201"/>
      <c r="C433" s="201"/>
      <c r="D433" s="201"/>
      <c r="E433" s="201"/>
      <c r="F433" s="201"/>
      <c r="I433" s="201"/>
      <c r="N433" s="201"/>
      <c r="O433" s="201"/>
      <c r="S433" s="201"/>
      <c r="T433" s="201"/>
      <c r="AB433" s="201"/>
      <c r="AC433" s="201"/>
      <c r="AD433" s="201"/>
      <c r="AE433" s="201"/>
      <c r="AF433" s="201"/>
      <c r="AG433" s="201"/>
      <c r="AH433" s="201"/>
      <c r="AI433" s="201"/>
      <c r="AJ433" s="201"/>
      <c r="AN433" s="201"/>
      <c r="AP433" s="201"/>
      <c r="AT433" s="201"/>
      <c r="AU433" s="201"/>
    </row>
    <row r="434" ht="15.75" customHeight="1">
      <c r="A434" s="200"/>
      <c r="B434" s="201"/>
      <c r="C434" s="201"/>
      <c r="D434" s="201"/>
      <c r="E434" s="201"/>
      <c r="F434" s="201"/>
      <c r="I434" s="201"/>
      <c r="N434" s="201"/>
      <c r="O434" s="201"/>
      <c r="S434" s="201"/>
      <c r="T434" s="201"/>
      <c r="AB434" s="201"/>
      <c r="AC434" s="201"/>
      <c r="AD434" s="201"/>
      <c r="AE434" s="201"/>
      <c r="AF434" s="201"/>
      <c r="AG434" s="201"/>
      <c r="AH434" s="201"/>
      <c r="AI434" s="201"/>
      <c r="AJ434" s="201"/>
      <c r="AN434" s="201"/>
      <c r="AP434" s="201"/>
      <c r="AT434" s="201"/>
      <c r="AU434" s="201"/>
    </row>
    <row r="435" ht="15.75" customHeight="1">
      <c r="A435" s="200"/>
      <c r="B435" s="201"/>
      <c r="C435" s="201"/>
      <c r="D435" s="201"/>
      <c r="E435" s="201"/>
      <c r="F435" s="201"/>
      <c r="I435" s="201"/>
      <c r="N435" s="201"/>
      <c r="O435" s="201"/>
      <c r="S435" s="201"/>
      <c r="T435" s="201"/>
      <c r="AB435" s="201"/>
      <c r="AC435" s="201"/>
      <c r="AD435" s="201"/>
      <c r="AE435" s="201"/>
      <c r="AF435" s="201"/>
      <c r="AG435" s="201"/>
      <c r="AH435" s="201"/>
      <c r="AI435" s="201"/>
      <c r="AJ435" s="201"/>
      <c r="AN435" s="201"/>
      <c r="AP435" s="201"/>
      <c r="AT435" s="201"/>
      <c r="AU435" s="201"/>
    </row>
    <row r="436" ht="15.75" customHeight="1">
      <c r="A436" s="200"/>
      <c r="B436" s="201"/>
      <c r="C436" s="201"/>
      <c r="D436" s="201"/>
      <c r="E436" s="201"/>
      <c r="F436" s="201"/>
      <c r="I436" s="201"/>
      <c r="N436" s="201"/>
      <c r="O436" s="201"/>
      <c r="S436" s="201"/>
      <c r="T436" s="201"/>
      <c r="AB436" s="201"/>
      <c r="AC436" s="201"/>
      <c r="AD436" s="201"/>
      <c r="AE436" s="201"/>
      <c r="AF436" s="201"/>
      <c r="AG436" s="201"/>
      <c r="AH436" s="201"/>
      <c r="AI436" s="201"/>
      <c r="AJ436" s="201"/>
      <c r="AN436" s="201"/>
      <c r="AP436" s="201"/>
      <c r="AT436" s="201"/>
      <c r="AU436" s="201"/>
    </row>
    <row r="437" ht="15.75" customHeight="1">
      <c r="A437" s="200"/>
      <c r="B437" s="201"/>
      <c r="C437" s="201"/>
      <c r="D437" s="201"/>
      <c r="E437" s="201"/>
      <c r="F437" s="201"/>
      <c r="I437" s="201"/>
      <c r="N437" s="201"/>
      <c r="O437" s="201"/>
      <c r="S437" s="201"/>
      <c r="T437" s="201"/>
      <c r="AB437" s="201"/>
      <c r="AC437" s="201"/>
      <c r="AD437" s="201"/>
      <c r="AE437" s="201"/>
      <c r="AF437" s="201"/>
      <c r="AG437" s="201"/>
      <c r="AH437" s="201"/>
      <c r="AI437" s="201"/>
      <c r="AJ437" s="201"/>
      <c r="AN437" s="201"/>
      <c r="AP437" s="201"/>
      <c r="AT437" s="201"/>
      <c r="AU437" s="201"/>
    </row>
    <row r="438" ht="15.75" customHeight="1">
      <c r="A438" s="200"/>
      <c r="B438" s="201"/>
      <c r="C438" s="201"/>
      <c r="D438" s="201"/>
      <c r="E438" s="201"/>
      <c r="F438" s="201"/>
      <c r="I438" s="201"/>
      <c r="N438" s="201"/>
      <c r="O438" s="201"/>
      <c r="S438" s="201"/>
      <c r="T438" s="201"/>
      <c r="AB438" s="201"/>
      <c r="AC438" s="201"/>
      <c r="AD438" s="201"/>
      <c r="AE438" s="201"/>
      <c r="AF438" s="201"/>
      <c r="AG438" s="201"/>
      <c r="AH438" s="201"/>
      <c r="AI438" s="201"/>
      <c r="AJ438" s="201"/>
      <c r="AN438" s="201"/>
      <c r="AP438" s="201"/>
      <c r="AT438" s="201"/>
      <c r="AU438" s="201"/>
    </row>
    <row r="439" ht="15.75" customHeight="1">
      <c r="A439" s="200"/>
      <c r="B439" s="201"/>
      <c r="C439" s="201"/>
      <c r="D439" s="201"/>
      <c r="E439" s="201"/>
      <c r="F439" s="201"/>
      <c r="I439" s="201"/>
      <c r="N439" s="201"/>
      <c r="O439" s="201"/>
      <c r="S439" s="201"/>
      <c r="T439" s="201"/>
      <c r="AB439" s="201"/>
      <c r="AC439" s="201"/>
      <c r="AD439" s="201"/>
      <c r="AE439" s="201"/>
      <c r="AF439" s="201"/>
      <c r="AG439" s="201"/>
      <c r="AH439" s="201"/>
      <c r="AI439" s="201"/>
      <c r="AJ439" s="201"/>
      <c r="AN439" s="201"/>
      <c r="AP439" s="201"/>
      <c r="AT439" s="201"/>
      <c r="AU439" s="201"/>
    </row>
    <row r="440" ht="15.75" customHeight="1">
      <c r="A440" s="200"/>
      <c r="B440" s="201"/>
      <c r="C440" s="201"/>
      <c r="D440" s="201"/>
      <c r="E440" s="201"/>
      <c r="F440" s="201"/>
      <c r="I440" s="201"/>
      <c r="N440" s="201"/>
      <c r="O440" s="201"/>
      <c r="S440" s="201"/>
      <c r="T440" s="201"/>
      <c r="AB440" s="201"/>
      <c r="AC440" s="201"/>
      <c r="AD440" s="201"/>
      <c r="AE440" s="201"/>
      <c r="AF440" s="201"/>
      <c r="AG440" s="201"/>
      <c r="AH440" s="201"/>
      <c r="AI440" s="201"/>
      <c r="AJ440" s="201"/>
      <c r="AN440" s="201"/>
      <c r="AP440" s="201"/>
      <c r="AT440" s="201"/>
      <c r="AU440" s="201"/>
    </row>
    <row r="441" ht="15.75" customHeight="1">
      <c r="A441" s="200"/>
      <c r="B441" s="201"/>
      <c r="C441" s="201"/>
      <c r="D441" s="201"/>
      <c r="E441" s="201"/>
      <c r="F441" s="201"/>
      <c r="I441" s="201"/>
      <c r="N441" s="201"/>
      <c r="O441" s="201"/>
      <c r="S441" s="201"/>
      <c r="T441" s="201"/>
      <c r="AB441" s="201"/>
      <c r="AC441" s="201"/>
      <c r="AD441" s="201"/>
      <c r="AE441" s="201"/>
      <c r="AF441" s="201"/>
      <c r="AG441" s="201"/>
      <c r="AH441" s="201"/>
      <c r="AI441" s="201"/>
      <c r="AJ441" s="201"/>
      <c r="AN441" s="201"/>
      <c r="AP441" s="201"/>
      <c r="AT441" s="201"/>
      <c r="AU441" s="201"/>
    </row>
    <row r="442" ht="15.75" customHeight="1">
      <c r="A442" s="200"/>
      <c r="B442" s="201"/>
      <c r="C442" s="201"/>
      <c r="D442" s="201"/>
      <c r="E442" s="201"/>
      <c r="F442" s="201"/>
      <c r="I442" s="201"/>
      <c r="N442" s="201"/>
      <c r="O442" s="201"/>
      <c r="S442" s="201"/>
      <c r="T442" s="201"/>
      <c r="AB442" s="201"/>
      <c r="AC442" s="201"/>
      <c r="AD442" s="201"/>
      <c r="AE442" s="201"/>
      <c r="AF442" s="201"/>
      <c r="AG442" s="201"/>
      <c r="AH442" s="201"/>
      <c r="AI442" s="201"/>
      <c r="AJ442" s="201"/>
      <c r="AN442" s="201"/>
      <c r="AP442" s="201"/>
      <c r="AT442" s="201"/>
      <c r="AU442" s="201"/>
    </row>
    <row r="443" ht="15.75" customHeight="1">
      <c r="A443" s="200"/>
      <c r="B443" s="201"/>
      <c r="C443" s="201"/>
      <c r="D443" s="201"/>
      <c r="E443" s="201"/>
      <c r="F443" s="201"/>
      <c r="I443" s="201"/>
      <c r="N443" s="201"/>
      <c r="O443" s="201"/>
      <c r="S443" s="201"/>
      <c r="T443" s="201"/>
      <c r="AB443" s="201"/>
      <c r="AC443" s="201"/>
      <c r="AD443" s="201"/>
      <c r="AE443" s="201"/>
      <c r="AF443" s="201"/>
      <c r="AG443" s="201"/>
      <c r="AH443" s="201"/>
      <c r="AI443" s="201"/>
      <c r="AJ443" s="201"/>
      <c r="AN443" s="201"/>
      <c r="AP443" s="201"/>
      <c r="AT443" s="201"/>
      <c r="AU443" s="201"/>
    </row>
    <row r="444" ht="15.75" customHeight="1">
      <c r="A444" s="200"/>
      <c r="B444" s="201"/>
      <c r="C444" s="201"/>
      <c r="D444" s="201"/>
      <c r="E444" s="201"/>
      <c r="F444" s="201"/>
      <c r="I444" s="201"/>
      <c r="N444" s="201"/>
      <c r="O444" s="201"/>
      <c r="S444" s="201"/>
      <c r="T444" s="201"/>
      <c r="AB444" s="201"/>
      <c r="AC444" s="201"/>
      <c r="AD444" s="201"/>
      <c r="AE444" s="201"/>
      <c r="AF444" s="201"/>
      <c r="AG444" s="201"/>
      <c r="AH444" s="201"/>
      <c r="AI444" s="201"/>
      <c r="AJ444" s="201"/>
      <c r="AN444" s="201"/>
      <c r="AP444" s="201"/>
      <c r="AT444" s="201"/>
      <c r="AU444" s="201"/>
    </row>
    <row r="445" ht="15.75" customHeight="1">
      <c r="A445" s="200"/>
      <c r="B445" s="201"/>
      <c r="C445" s="201"/>
      <c r="D445" s="201"/>
      <c r="E445" s="201"/>
      <c r="F445" s="201"/>
      <c r="I445" s="201"/>
      <c r="N445" s="201"/>
      <c r="O445" s="201"/>
      <c r="S445" s="201"/>
      <c r="T445" s="201"/>
      <c r="AB445" s="201"/>
      <c r="AC445" s="201"/>
      <c r="AD445" s="201"/>
      <c r="AE445" s="201"/>
      <c r="AF445" s="201"/>
      <c r="AG445" s="201"/>
      <c r="AH445" s="201"/>
      <c r="AI445" s="201"/>
      <c r="AJ445" s="201"/>
      <c r="AN445" s="201"/>
      <c r="AP445" s="201"/>
      <c r="AT445" s="201"/>
      <c r="AU445" s="201"/>
    </row>
    <row r="446" ht="15.75" customHeight="1">
      <c r="A446" s="200"/>
      <c r="B446" s="201"/>
      <c r="C446" s="201"/>
      <c r="D446" s="201"/>
      <c r="E446" s="201"/>
      <c r="F446" s="201"/>
      <c r="I446" s="201"/>
      <c r="N446" s="201"/>
      <c r="O446" s="201"/>
      <c r="S446" s="201"/>
      <c r="T446" s="201"/>
      <c r="AB446" s="201"/>
      <c r="AC446" s="201"/>
      <c r="AD446" s="201"/>
      <c r="AE446" s="201"/>
      <c r="AF446" s="201"/>
      <c r="AG446" s="201"/>
      <c r="AH446" s="201"/>
      <c r="AI446" s="201"/>
      <c r="AJ446" s="201"/>
      <c r="AN446" s="201"/>
      <c r="AP446" s="201"/>
      <c r="AT446" s="201"/>
      <c r="AU446" s="201"/>
    </row>
    <row r="447" ht="15.75" customHeight="1">
      <c r="A447" s="200"/>
      <c r="B447" s="201"/>
      <c r="C447" s="201"/>
      <c r="D447" s="201"/>
      <c r="E447" s="201"/>
      <c r="F447" s="201"/>
      <c r="I447" s="201"/>
      <c r="N447" s="201"/>
      <c r="O447" s="201"/>
      <c r="S447" s="201"/>
      <c r="T447" s="201"/>
      <c r="AB447" s="201"/>
      <c r="AC447" s="201"/>
      <c r="AD447" s="201"/>
      <c r="AE447" s="201"/>
      <c r="AF447" s="201"/>
      <c r="AG447" s="201"/>
      <c r="AH447" s="201"/>
      <c r="AI447" s="201"/>
      <c r="AJ447" s="201"/>
      <c r="AN447" s="201"/>
      <c r="AP447" s="201"/>
      <c r="AT447" s="201"/>
      <c r="AU447" s="201"/>
    </row>
    <row r="448" ht="15.75" customHeight="1">
      <c r="A448" s="200"/>
      <c r="B448" s="201"/>
      <c r="C448" s="201"/>
      <c r="D448" s="201"/>
      <c r="E448" s="201"/>
      <c r="F448" s="201"/>
      <c r="I448" s="201"/>
      <c r="N448" s="201"/>
      <c r="O448" s="201"/>
      <c r="S448" s="201"/>
      <c r="T448" s="201"/>
      <c r="AB448" s="201"/>
      <c r="AC448" s="201"/>
      <c r="AD448" s="201"/>
      <c r="AE448" s="201"/>
      <c r="AF448" s="201"/>
      <c r="AG448" s="201"/>
      <c r="AH448" s="201"/>
      <c r="AI448" s="201"/>
      <c r="AJ448" s="201"/>
      <c r="AN448" s="201"/>
      <c r="AP448" s="201"/>
      <c r="AT448" s="201"/>
      <c r="AU448" s="201"/>
    </row>
    <row r="449" ht="15.75" customHeight="1">
      <c r="A449" s="200"/>
      <c r="B449" s="201"/>
      <c r="C449" s="201"/>
      <c r="D449" s="201"/>
      <c r="E449" s="201"/>
      <c r="F449" s="201"/>
      <c r="I449" s="201"/>
      <c r="N449" s="201"/>
      <c r="O449" s="201"/>
      <c r="S449" s="201"/>
      <c r="T449" s="201"/>
      <c r="AB449" s="201"/>
      <c r="AC449" s="201"/>
      <c r="AD449" s="201"/>
      <c r="AE449" s="201"/>
      <c r="AF449" s="201"/>
      <c r="AG449" s="201"/>
      <c r="AH449" s="201"/>
      <c r="AI449" s="201"/>
      <c r="AJ449" s="201"/>
      <c r="AN449" s="201"/>
      <c r="AP449" s="201"/>
      <c r="AT449" s="201"/>
      <c r="AU449" s="201"/>
    </row>
    <row r="450" ht="15.75" customHeight="1">
      <c r="A450" s="200"/>
      <c r="B450" s="201"/>
      <c r="C450" s="201"/>
      <c r="D450" s="201"/>
      <c r="E450" s="201"/>
      <c r="F450" s="201"/>
      <c r="I450" s="201"/>
      <c r="N450" s="201"/>
      <c r="O450" s="201"/>
      <c r="S450" s="201"/>
      <c r="T450" s="201"/>
      <c r="AB450" s="201"/>
      <c r="AC450" s="201"/>
      <c r="AD450" s="201"/>
      <c r="AE450" s="201"/>
      <c r="AF450" s="201"/>
      <c r="AG450" s="201"/>
      <c r="AH450" s="201"/>
      <c r="AI450" s="201"/>
      <c r="AJ450" s="201"/>
      <c r="AN450" s="201"/>
      <c r="AP450" s="201"/>
      <c r="AT450" s="201"/>
      <c r="AU450" s="201"/>
    </row>
    <row r="451" ht="15.75" customHeight="1">
      <c r="A451" s="200"/>
      <c r="B451" s="201"/>
      <c r="C451" s="201"/>
      <c r="D451" s="201"/>
      <c r="E451" s="201"/>
      <c r="F451" s="201"/>
      <c r="I451" s="201"/>
      <c r="N451" s="201"/>
      <c r="O451" s="201"/>
      <c r="S451" s="201"/>
      <c r="T451" s="201"/>
      <c r="AB451" s="201"/>
      <c r="AC451" s="201"/>
      <c r="AD451" s="201"/>
      <c r="AE451" s="201"/>
      <c r="AF451" s="201"/>
      <c r="AG451" s="201"/>
      <c r="AH451" s="201"/>
      <c r="AI451" s="201"/>
      <c r="AJ451" s="201"/>
      <c r="AN451" s="201"/>
      <c r="AP451" s="201"/>
      <c r="AT451" s="201"/>
      <c r="AU451" s="201"/>
    </row>
    <row r="452" ht="15.75" customHeight="1">
      <c r="A452" s="200"/>
      <c r="B452" s="201"/>
      <c r="C452" s="201"/>
      <c r="D452" s="201"/>
      <c r="E452" s="201"/>
      <c r="F452" s="201"/>
      <c r="I452" s="201"/>
      <c r="N452" s="201"/>
      <c r="O452" s="201"/>
      <c r="S452" s="201"/>
      <c r="T452" s="201"/>
      <c r="AB452" s="201"/>
      <c r="AC452" s="201"/>
      <c r="AD452" s="201"/>
      <c r="AE452" s="201"/>
      <c r="AF452" s="201"/>
      <c r="AG452" s="201"/>
      <c r="AH452" s="201"/>
      <c r="AI452" s="201"/>
      <c r="AJ452" s="201"/>
      <c r="AN452" s="201"/>
      <c r="AP452" s="201"/>
      <c r="AT452" s="201"/>
      <c r="AU452" s="201"/>
    </row>
    <row r="453" ht="15.75" customHeight="1">
      <c r="A453" s="200"/>
      <c r="B453" s="201"/>
      <c r="C453" s="201"/>
      <c r="D453" s="201"/>
      <c r="E453" s="201"/>
      <c r="F453" s="201"/>
      <c r="I453" s="201"/>
      <c r="N453" s="201"/>
      <c r="O453" s="201"/>
      <c r="S453" s="201"/>
      <c r="T453" s="201"/>
      <c r="AB453" s="201"/>
      <c r="AC453" s="201"/>
      <c r="AD453" s="201"/>
      <c r="AE453" s="201"/>
      <c r="AF453" s="201"/>
      <c r="AG453" s="201"/>
      <c r="AH453" s="201"/>
      <c r="AI453" s="201"/>
      <c r="AJ453" s="201"/>
      <c r="AN453" s="201"/>
      <c r="AP453" s="201"/>
      <c r="AT453" s="201"/>
      <c r="AU453" s="201"/>
    </row>
    <row r="454" ht="15.75" customHeight="1">
      <c r="A454" s="200"/>
      <c r="B454" s="201"/>
      <c r="C454" s="201"/>
      <c r="D454" s="201"/>
      <c r="E454" s="201"/>
      <c r="F454" s="201"/>
      <c r="I454" s="201"/>
      <c r="N454" s="201"/>
      <c r="O454" s="201"/>
      <c r="S454" s="201"/>
      <c r="T454" s="201"/>
      <c r="AB454" s="201"/>
      <c r="AC454" s="201"/>
      <c r="AD454" s="201"/>
      <c r="AE454" s="201"/>
      <c r="AF454" s="201"/>
      <c r="AG454" s="201"/>
      <c r="AH454" s="201"/>
      <c r="AI454" s="201"/>
      <c r="AJ454" s="201"/>
      <c r="AN454" s="201"/>
      <c r="AP454" s="201"/>
      <c r="AT454" s="201"/>
      <c r="AU454" s="201"/>
    </row>
    <row r="455" ht="15.75" customHeight="1">
      <c r="A455" s="200"/>
      <c r="B455" s="201"/>
      <c r="C455" s="201"/>
      <c r="D455" s="201"/>
      <c r="E455" s="201"/>
      <c r="F455" s="201"/>
      <c r="I455" s="201"/>
      <c r="N455" s="201"/>
      <c r="O455" s="201"/>
      <c r="S455" s="201"/>
      <c r="T455" s="201"/>
      <c r="AB455" s="201"/>
      <c r="AC455" s="201"/>
      <c r="AD455" s="201"/>
      <c r="AE455" s="201"/>
      <c r="AF455" s="201"/>
      <c r="AG455" s="201"/>
      <c r="AH455" s="201"/>
      <c r="AI455" s="201"/>
      <c r="AJ455" s="201"/>
      <c r="AN455" s="201"/>
      <c r="AP455" s="201"/>
      <c r="AT455" s="201"/>
      <c r="AU455" s="201"/>
    </row>
    <row r="456" ht="15.75" customHeight="1">
      <c r="A456" s="200"/>
      <c r="B456" s="201"/>
      <c r="C456" s="201"/>
      <c r="D456" s="201"/>
      <c r="E456" s="201"/>
      <c r="F456" s="201"/>
      <c r="I456" s="201"/>
      <c r="N456" s="201"/>
      <c r="O456" s="201"/>
      <c r="S456" s="201"/>
      <c r="T456" s="201"/>
      <c r="AB456" s="201"/>
      <c r="AC456" s="201"/>
      <c r="AD456" s="201"/>
      <c r="AE456" s="201"/>
      <c r="AF456" s="201"/>
      <c r="AG456" s="201"/>
      <c r="AH456" s="201"/>
      <c r="AI456" s="201"/>
      <c r="AJ456" s="201"/>
      <c r="AN456" s="201"/>
      <c r="AP456" s="201"/>
      <c r="AT456" s="201"/>
      <c r="AU456" s="201"/>
    </row>
    <row r="457" ht="15.75" customHeight="1">
      <c r="A457" s="200"/>
      <c r="B457" s="201"/>
      <c r="C457" s="201"/>
      <c r="D457" s="201"/>
      <c r="E457" s="201"/>
      <c r="F457" s="201"/>
      <c r="I457" s="201"/>
      <c r="N457" s="201"/>
      <c r="O457" s="201"/>
      <c r="S457" s="201"/>
      <c r="T457" s="201"/>
      <c r="AB457" s="201"/>
      <c r="AC457" s="201"/>
      <c r="AD457" s="201"/>
      <c r="AE457" s="201"/>
      <c r="AF457" s="201"/>
      <c r="AG457" s="201"/>
      <c r="AH457" s="201"/>
      <c r="AI457" s="201"/>
      <c r="AJ457" s="201"/>
      <c r="AN457" s="201"/>
      <c r="AP457" s="201"/>
      <c r="AT457" s="201"/>
      <c r="AU457" s="201"/>
    </row>
    <row r="458" ht="15.75" customHeight="1">
      <c r="A458" s="200"/>
      <c r="B458" s="201"/>
      <c r="C458" s="201"/>
      <c r="D458" s="201"/>
      <c r="E458" s="201"/>
      <c r="F458" s="201"/>
      <c r="I458" s="201"/>
      <c r="N458" s="201"/>
      <c r="O458" s="201"/>
      <c r="S458" s="201"/>
      <c r="T458" s="201"/>
      <c r="AB458" s="201"/>
      <c r="AC458" s="201"/>
      <c r="AD458" s="201"/>
      <c r="AE458" s="201"/>
      <c r="AF458" s="201"/>
      <c r="AG458" s="201"/>
      <c r="AH458" s="201"/>
      <c r="AI458" s="201"/>
      <c r="AJ458" s="201"/>
      <c r="AN458" s="201"/>
      <c r="AP458" s="201"/>
      <c r="AT458" s="201"/>
      <c r="AU458" s="201"/>
    </row>
    <row r="459" ht="15.75" customHeight="1">
      <c r="A459" s="200"/>
      <c r="B459" s="201"/>
      <c r="C459" s="201"/>
      <c r="D459" s="201"/>
      <c r="E459" s="201"/>
      <c r="F459" s="201"/>
      <c r="I459" s="201"/>
      <c r="N459" s="201"/>
      <c r="O459" s="201"/>
      <c r="S459" s="201"/>
      <c r="T459" s="201"/>
      <c r="AB459" s="201"/>
      <c r="AC459" s="201"/>
      <c r="AD459" s="201"/>
      <c r="AE459" s="201"/>
      <c r="AF459" s="201"/>
      <c r="AG459" s="201"/>
      <c r="AH459" s="201"/>
      <c r="AI459" s="201"/>
      <c r="AJ459" s="201"/>
      <c r="AN459" s="201"/>
      <c r="AP459" s="201"/>
      <c r="AT459" s="201"/>
      <c r="AU459" s="201"/>
    </row>
    <row r="460" ht="15.75" customHeight="1">
      <c r="A460" s="200"/>
      <c r="B460" s="201"/>
      <c r="C460" s="201"/>
      <c r="D460" s="201"/>
      <c r="E460" s="201"/>
      <c r="F460" s="201"/>
      <c r="I460" s="201"/>
      <c r="N460" s="201"/>
      <c r="O460" s="201"/>
      <c r="S460" s="201"/>
      <c r="T460" s="201"/>
      <c r="AB460" s="201"/>
      <c r="AC460" s="201"/>
      <c r="AD460" s="201"/>
      <c r="AE460" s="201"/>
      <c r="AF460" s="201"/>
      <c r="AG460" s="201"/>
      <c r="AH460" s="201"/>
      <c r="AI460" s="201"/>
      <c r="AJ460" s="201"/>
      <c r="AN460" s="201"/>
      <c r="AP460" s="201"/>
      <c r="AT460" s="201"/>
      <c r="AU460" s="201"/>
    </row>
    <row r="461" ht="15.75" customHeight="1">
      <c r="A461" s="200"/>
      <c r="B461" s="201"/>
      <c r="C461" s="201"/>
      <c r="D461" s="201"/>
      <c r="E461" s="201"/>
      <c r="F461" s="201"/>
      <c r="I461" s="201"/>
      <c r="N461" s="201"/>
      <c r="O461" s="201"/>
      <c r="S461" s="201"/>
      <c r="T461" s="201"/>
      <c r="AB461" s="201"/>
      <c r="AC461" s="201"/>
      <c r="AD461" s="201"/>
      <c r="AE461" s="201"/>
      <c r="AF461" s="201"/>
      <c r="AG461" s="201"/>
      <c r="AH461" s="201"/>
      <c r="AI461" s="201"/>
      <c r="AJ461" s="201"/>
      <c r="AN461" s="201"/>
      <c r="AP461" s="201"/>
      <c r="AT461" s="201"/>
      <c r="AU461" s="201"/>
    </row>
    <row r="462" ht="15.75" customHeight="1">
      <c r="A462" s="200"/>
      <c r="B462" s="201"/>
      <c r="C462" s="201"/>
      <c r="D462" s="201"/>
      <c r="E462" s="201"/>
      <c r="F462" s="201"/>
      <c r="I462" s="201"/>
      <c r="N462" s="201"/>
      <c r="O462" s="201"/>
      <c r="S462" s="201"/>
      <c r="T462" s="201"/>
      <c r="AB462" s="201"/>
      <c r="AC462" s="201"/>
      <c r="AD462" s="201"/>
      <c r="AE462" s="201"/>
      <c r="AF462" s="201"/>
      <c r="AG462" s="201"/>
      <c r="AH462" s="201"/>
      <c r="AI462" s="201"/>
      <c r="AJ462" s="201"/>
      <c r="AN462" s="201"/>
      <c r="AP462" s="201"/>
      <c r="AT462" s="201"/>
      <c r="AU462" s="201"/>
    </row>
    <row r="463" ht="15.75" customHeight="1">
      <c r="A463" s="200"/>
      <c r="B463" s="201"/>
      <c r="C463" s="201"/>
      <c r="D463" s="201"/>
      <c r="E463" s="201"/>
      <c r="F463" s="201"/>
      <c r="I463" s="201"/>
      <c r="N463" s="201"/>
      <c r="O463" s="201"/>
      <c r="S463" s="201"/>
      <c r="T463" s="201"/>
      <c r="AB463" s="201"/>
      <c r="AC463" s="201"/>
      <c r="AD463" s="201"/>
      <c r="AE463" s="201"/>
      <c r="AF463" s="201"/>
      <c r="AG463" s="201"/>
      <c r="AH463" s="201"/>
      <c r="AI463" s="201"/>
      <c r="AJ463" s="201"/>
      <c r="AN463" s="201"/>
      <c r="AP463" s="201"/>
      <c r="AT463" s="201"/>
      <c r="AU463" s="201"/>
    </row>
    <row r="464" ht="15.75" customHeight="1">
      <c r="A464" s="200"/>
      <c r="B464" s="201"/>
      <c r="C464" s="201"/>
      <c r="D464" s="201"/>
      <c r="E464" s="201"/>
      <c r="F464" s="201"/>
      <c r="I464" s="201"/>
      <c r="N464" s="201"/>
      <c r="O464" s="201"/>
      <c r="S464" s="201"/>
      <c r="T464" s="201"/>
      <c r="AB464" s="201"/>
      <c r="AC464" s="201"/>
      <c r="AD464" s="201"/>
      <c r="AE464" s="201"/>
      <c r="AF464" s="201"/>
      <c r="AG464" s="201"/>
      <c r="AH464" s="201"/>
      <c r="AI464" s="201"/>
      <c r="AJ464" s="201"/>
      <c r="AN464" s="201"/>
      <c r="AP464" s="201"/>
      <c r="AT464" s="201"/>
      <c r="AU464" s="201"/>
    </row>
    <row r="465" ht="15.75" customHeight="1">
      <c r="A465" s="200"/>
      <c r="B465" s="201"/>
      <c r="C465" s="201"/>
      <c r="D465" s="201"/>
      <c r="E465" s="201"/>
      <c r="F465" s="201"/>
      <c r="I465" s="201"/>
      <c r="N465" s="201"/>
      <c r="O465" s="201"/>
      <c r="S465" s="201"/>
      <c r="T465" s="201"/>
      <c r="AB465" s="201"/>
      <c r="AC465" s="201"/>
      <c r="AD465" s="201"/>
      <c r="AE465" s="201"/>
      <c r="AF465" s="201"/>
      <c r="AG465" s="201"/>
      <c r="AH465" s="201"/>
      <c r="AI465" s="201"/>
      <c r="AJ465" s="201"/>
      <c r="AN465" s="201"/>
      <c r="AP465" s="201"/>
      <c r="AT465" s="201"/>
      <c r="AU465" s="201"/>
    </row>
    <row r="466" ht="15.75" customHeight="1">
      <c r="A466" s="200"/>
      <c r="B466" s="201"/>
      <c r="C466" s="201"/>
      <c r="D466" s="201"/>
      <c r="E466" s="201"/>
      <c r="F466" s="201"/>
      <c r="I466" s="201"/>
      <c r="N466" s="201"/>
      <c r="O466" s="201"/>
      <c r="S466" s="201"/>
      <c r="T466" s="201"/>
      <c r="AB466" s="201"/>
      <c r="AC466" s="201"/>
      <c r="AD466" s="201"/>
      <c r="AE466" s="201"/>
      <c r="AF466" s="201"/>
      <c r="AG466" s="201"/>
      <c r="AH466" s="201"/>
      <c r="AI466" s="201"/>
      <c r="AJ466" s="201"/>
      <c r="AN466" s="201"/>
      <c r="AP466" s="201"/>
      <c r="AT466" s="201"/>
      <c r="AU466" s="201"/>
    </row>
    <row r="467" ht="15.75" customHeight="1">
      <c r="A467" s="200"/>
      <c r="B467" s="201"/>
      <c r="C467" s="201"/>
      <c r="D467" s="201"/>
      <c r="E467" s="201"/>
      <c r="F467" s="201"/>
      <c r="I467" s="201"/>
      <c r="N467" s="201"/>
      <c r="O467" s="201"/>
      <c r="S467" s="201"/>
      <c r="T467" s="201"/>
      <c r="AB467" s="201"/>
      <c r="AC467" s="201"/>
      <c r="AD467" s="201"/>
      <c r="AE467" s="201"/>
      <c r="AF467" s="201"/>
      <c r="AG467" s="201"/>
      <c r="AH467" s="201"/>
      <c r="AI467" s="201"/>
      <c r="AJ467" s="201"/>
      <c r="AN467" s="201"/>
      <c r="AP467" s="201"/>
      <c r="AT467" s="201"/>
      <c r="AU467" s="201"/>
    </row>
    <row r="468" ht="15.75" customHeight="1">
      <c r="A468" s="200"/>
      <c r="B468" s="201"/>
      <c r="C468" s="201"/>
      <c r="D468" s="201"/>
      <c r="E468" s="201"/>
      <c r="F468" s="201"/>
      <c r="I468" s="201"/>
      <c r="N468" s="201"/>
      <c r="O468" s="201"/>
      <c r="S468" s="201"/>
      <c r="T468" s="201"/>
      <c r="AB468" s="201"/>
      <c r="AC468" s="201"/>
      <c r="AD468" s="201"/>
      <c r="AE468" s="201"/>
      <c r="AF468" s="201"/>
      <c r="AG468" s="201"/>
      <c r="AH468" s="201"/>
      <c r="AI468" s="201"/>
      <c r="AJ468" s="201"/>
      <c r="AN468" s="201"/>
      <c r="AP468" s="201"/>
      <c r="AT468" s="201"/>
      <c r="AU468" s="201"/>
    </row>
    <row r="469" ht="15.75" customHeight="1">
      <c r="A469" s="200"/>
      <c r="B469" s="201"/>
      <c r="C469" s="201"/>
      <c r="D469" s="201"/>
      <c r="E469" s="201"/>
      <c r="F469" s="201"/>
      <c r="I469" s="201"/>
      <c r="N469" s="201"/>
      <c r="O469" s="201"/>
      <c r="S469" s="201"/>
      <c r="T469" s="201"/>
      <c r="AB469" s="201"/>
      <c r="AC469" s="201"/>
      <c r="AD469" s="201"/>
      <c r="AE469" s="201"/>
      <c r="AF469" s="201"/>
      <c r="AG469" s="201"/>
      <c r="AH469" s="201"/>
      <c r="AI469" s="201"/>
      <c r="AJ469" s="201"/>
      <c r="AN469" s="201"/>
      <c r="AP469" s="201"/>
      <c r="AT469" s="201"/>
      <c r="AU469" s="201"/>
    </row>
    <row r="470" ht="15.75" customHeight="1">
      <c r="A470" s="200"/>
      <c r="B470" s="201"/>
      <c r="C470" s="201"/>
      <c r="D470" s="201"/>
      <c r="E470" s="201"/>
      <c r="F470" s="201"/>
      <c r="I470" s="201"/>
      <c r="N470" s="201"/>
      <c r="O470" s="201"/>
      <c r="S470" s="201"/>
      <c r="T470" s="201"/>
      <c r="AB470" s="201"/>
      <c r="AC470" s="201"/>
      <c r="AD470" s="201"/>
      <c r="AE470" s="201"/>
      <c r="AF470" s="201"/>
      <c r="AG470" s="201"/>
      <c r="AH470" s="201"/>
      <c r="AI470" s="201"/>
      <c r="AJ470" s="201"/>
      <c r="AN470" s="201"/>
      <c r="AP470" s="201"/>
      <c r="AT470" s="201"/>
      <c r="AU470" s="201"/>
    </row>
    <row r="471" ht="15.75" customHeight="1">
      <c r="A471" s="200"/>
      <c r="B471" s="201"/>
      <c r="C471" s="201"/>
      <c r="D471" s="201"/>
      <c r="E471" s="201"/>
      <c r="F471" s="201"/>
      <c r="I471" s="201"/>
      <c r="N471" s="201"/>
      <c r="O471" s="201"/>
      <c r="S471" s="201"/>
      <c r="T471" s="201"/>
      <c r="AB471" s="201"/>
      <c r="AC471" s="201"/>
      <c r="AD471" s="201"/>
      <c r="AE471" s="201"/>
      <c r="AF471" s="201"/>
      <c r="AG471" s="201"/>
      <c r="AH471" s="201"/>
      <c r="AI471" s="201"/>
      <c r="AJ471" s="201"/>
      <c r="AN471" s="201"/>
      <c r="AP471" s="201"/>
      <c r="AT471" s="201"/>
      <c r="AU471" s="201"/>
    </row>
    <row r="472" ht="15.75" customHeight="1">
      <c r="A472" s="200"/>
      <c r="B472" s="201"/>
      <c r="C472" s="201"/>
      <c r="D472" s="201"/>
      <c r="E472" s="201"/>
      <c r="F472" s="201"/>
      <c r="I472" s="201"/>
      <c r="N472" s="201"/>
      <c r="O472" s="201"/>
      <c r="S472" s="201"/>
      <c r="T472" s="201"/>
      <c r="AB472" s="201"/>
      <c r="AC472" s="201"/>
      <c r="AD472" s="201"/>
      <c r="AE472" s="201"/>
      <c r="AF472" s="201"/>
      <c r="AG472" s="201"/>
      <c r="AH472" s="201"/>
      <c r="AI472" s="201"/>
      <c r="AJ472" s="201"/>
      <c r="AN472" s="201"/>
      <c r="AP472" s="201"/>
      <c r="AT472" s="201"/>
      <c r="AU472" s="201"/>
    </row>
    <row r="473" ht="15.75" customHeight="1">
      <c r="A473" s="200"/>
      <c r="B473" s="201"/>
      <c r="C473" s="201"/>
      <c r="D473" s="201"/>
      <c r="E473" s="201"/>
      <c r="F473" s="201"/>
      <c r="I473" s="201"/>
      <c r="N473" s="201"/>
      <c r="O473" s="201"/>
      <c r="S473" s="201"/>
      <c r="T473" s="201"/>
      <c r="AB473" s="201"/>
      <c r="AC473" s="201"/>
      <c r="AD473" s="201"/>
      <c r="AE473" s="201"/>
      <c r="AF473" s="201"/>
      <c r="AG473" s="201"/>
      <c r="AH473" s="201"/>
      <c r="AI473" s="201"/>
      <c r="AJ473" s="201"/>
      <c r="AN473" s="201"/>
      <c r="AP473" s="201"/>
      <c r="AT473" s="201"/>
      <c r="AU473" s="201"/>
    </row>
    <row r="474" ht="15.75" customHeight="1">
      <c r="A474" s="200"/>
      <c r="B474" s="201"/>
      <c r="C474" s="201"/>
      <c r="D474" s="201"/>
      <c r="E474" s="201"/>
      <c r="F474" s="201"/>
      <c r="I474" s="201"/>
      <c r="N474" s="201"/>
      <c r="O474" s="201"/>
      <c r="S474" s="201"/>
      <c r="T474" s="201"/>
      <c r="AB474" s="201"/>
      <c r="AC474" s="201"/>
      <c r="AD474" s="201"/>
      <c r="AE474" s="201"/>
      <c r="AF474" s="201"/>
      <c r="AG474" s="201"/>
      <c r="AH474" s="201"/>
      <c r="AI474" s="201"/>
      <c r="AJ474" s="201"/>
      <c r="AN474" s="201"/>
      <c r="AP474" s="201"/>
      <c r="AT474" s="201"/>
      <c r="AU474" s="201"/>
    </row>
    <row r="475" ht="15.75" customHeight="1">
      <c r="A475" s="200"/>
      <c r="B475" s="201"/>
      <c r="C475" s="201"/>
      <c r="D475" s="201"/>
      <c r="E475" s="201"/>
      <c r="F475" s="201"/>
      <c r="I475" s="201"/>
      <c r="N475" s="201"/>
      <c r="O475" s="201"/>
      <c r="S475" s="201"/>
      <c r="T475" s="201"/>
      <c r="AB475" s="201"/>
      <c r="AC475" s="201"/>
      <c r="AD475" s="201"/>
      <c r="AE475" s="201"/>
      <c r="AF475" s="201"/>
      <c r="AG475" s="201"/>
      <c r="AH475" s="201"/>
      <c r="AI475" s="201"/>
      <c r="AJ475" s="201"/>
      <c r="AN475" s="201"/>
      <c r="AP475" s="201"/>
      <c r="AT475" s="201"/>
      <c r="AU475" s="201"/>
    </row>
    <row r="476" ht="15.75" customHeight="1">
      <c r="A476" s="200"/>
      <c r="B476" s="201"/>
      <c r="C476" s="201"/>
      <c r="D476" s="201"/>
      <c r="E476" s="201"/>
      <c r="F476" s="201"/>
      <c r="I476" s="201"/>
      <c r="N476" s="201"/>
      <c r="O476" s="201"/>
      <c r="S476" s="201"/>
      <c r="T476" s="201"/>
      <c r="AB476" s="201"/>
      <c r="AC476" s="201"/>
      <c r="AD476" s="201"/>
      <c r="AE476" s="201"/>
      <c r="AF476" s="201"/>
      <c r="AG476" s="201"/>
      <c r="AH476" s="201"/>
      <c r="AI476" s="201"/>
      <c r="AJ476" s="201"/>
      <c r="AN476" s="201"/>
      <c r="AP476" s="201"/>
      <c r="AT476" s="201"/>
      <c r="AU476" s="201"/>
    </row>
    <row r="477" ht="15.75" customHeight="1">
      <c r="A477" s="200"/>
      <c r="B477" s="201"/>
      <c r="C477" s="201"/>
      <c r="D477" s="201"/>
      <c r="E477" s="201"/>
      <c r="F477" s="201"/>
      <c r="I477" s="201"/>
      <c r="N477" s="201"/>
      <c r="O477" s="201"/>
      <c r="S477" s="201"/>
      <c r="T477" s="201"/>
      <c r="AB477" s="201"/>
      <c r="AC477" s="201"/>
      <c r="AD477" s="201"/>
      <c r="AE477" s="201"/>
      <c r="AF477" s="201"/>
      <c r="AG477" s="201"/>
      <c r="AH477" s="201"/>
      <c r="AI477" s="201"/>
      <c r="AJ477" s="201"/>
      <c r="AN477" s="201"/>
      <c r="AP477" s="201"/>
      <c r="AT477" s="201"/>
      <c r="AU477" s="201"/>
    </row>
    <row r="478" ht="15.75" customHeight="1">
      <c r="A478" s="200"/>
      <c r="B478" s="201"/>
      <c r="C478" s="201"/>
      <c r="D478" s="201"/>
      <c r="E478" s="201"/>
      <c r="F478" s="201"/>
      <c r="I478" s="201"/>
      <c r="N478" s="201"/>
      <c r="O478" s="201"/>
      <c r="S478" s="201"/>
      <c r="T478" s="201"/>
      <c r="AB478" s="201"/>
      <c r="AC478" s="201"/>
      <c r="AD478" s="201"/>
      <c r="AE478" s="201"/>
      <c r="AF478" s="201"/>
      <c r="AG478" s="201"/>
      <c r="AH478" s="201"/>
      <c r="AI478" s="201"/>
      <c r="AJ478" s="201"/>
      <c r="AN478" s="201"/>
      <c r="AP478" s="201"/>
      <c r="AT478" s="201"/>
      <c r="AU478" s="201"/>
    </row>
    <row r="479" ht="15.75" customHeight="1">
      <c r="A479" s="200"/>
      <c r="B479" s="201"/>
      <c r="C479" s="201"/>
      <c r="D479" s="201"/>
      <c r="E479" s="201"/>
      <c r="F479" s="201"/>
      <c r="I479" s="201"/>
      <c r="N479" s="201"/>
      <c r="O479" s="201"/>
      <c r="S479" s="201"/>
      <c r="T479" s="201"/>
      <c r="AB479" s="201"/>
      <c r="AC479" s="201"/>
      <c r="AD479" s="201"/>
      <c r="AE479" s="201"/>
      <c r="AF479" s="201"/>
      <c r="AG479" s="201"/>
      <c r="AH479" s="201"/>
      <c r="AI479" s="201"/>
      <c r="AJ479" s="201"/>
      <c r="AN479" s="201"/>
      <c r="AP479" s="201"/>
      <c r="AT479" s="201"/>
      <c r="AU479" s="201"/>
    </row>
    <row r="480" ht="15.75" customHeight="1">
      <c r="A480" s="200"/>
      <c r="B480" s="201"/>
      <c r="C480" s="201"/>
      <c r="D480" s="201"/>
      <c r="E480" s="201"/>
      <c r="F480" s="201"/>
      <c r="I480" s="201"/>
      <c r="N480" s="201"/>
      <c r="O480" s="201"/>
      <c r="S480" s="201"/>
      <c r="T480" s="201"/>
      <c r="AB480" s="201"/>
      <c r="AC480" s="201"/>
      <c r="AD480" s="201"/>
      <c r="AE480" s="201"/>
      <c r="AF480" s="201"/>
      <c r="AG480" s="201"/>
      <c r="AH480" s="201"/>
      <c r="AI480" s="201"/>
      <c r="AJ480" s="201"/>
      <c r="AN480" s="201"/>
      <c r="AP480" s="201"/>
      <c r="AT480" s="201"/>
      <c r="AU480" s="201"/>
    </row>
    <row r="481" ht="15.75" customHeight="1">
      <c r="A481" s="200"/>
      <c r="B481" s="201"/>
      <c r="C481" s="201"/>
      <c r="D481" s="201"/>
      <c r="E481" s="201"/>
      <c r="F481" s="201"/>
      <c r="I481" s="201"/>
      <c r="N481" s="201"/>
      <c r="O481" s="201"/>
      <c r="S481" s="201"/>
      <c r="T481" s="201"/>
      <c r="AB481" s="201"/>
      <c r="AC481" s="201"/>
      <c r="AD481" s="201"/>
      <c r="AE481" s="201"/>
      <c r="AF481" s="201"/>
      <c r="AG481" s="201"/>
      <c r="AH481" s="201"/>
      <c r="AI481" s="201"/>
      <c r="AJ481" s="201"/>
      <c r="AN481" s="201"/>
      <c r="AP481" s="201"/>
      <c r="AT481" s="201"/>
      <c r="AU481" s="201"/>
    </row>
    <row r="482" ht="15.75" customHeight="1">
      <c r="A482" s="200"/>
      <c r="B482" s="201"/>
      <c r="C482" s="201"/>
      <c r="D482" s="201"/>
      <c r="E482" s="201"/>
      <c r="F482" s="201"/>
      <c r="I482" s="201"/>
      <c r="N482" s="201"/>
      <c r="O482" s="201"/>
      <c r="S482" s="201"/>
      <c r="T482" s="201"/>
      <c r="AB482" s="201"/>
      <c r="AC482" s="201"/>
      <c r="AD482" s="201"/>
      <c r="AE482" s="201"/>
      <c r="AF482" s="201"/>
      <c r="AG482" s="201"/>
      <c r="AH482" s="201"/>
      <c r="AI482" s="201"/>
      <c r="AJ482" s="201"/>
      <c r="AN482" s="201"/>
      <c r="AP482" s="201"/>
      <c r="AT482" s="201"/>
      <c r="AU482" s="201"/>
    </row>
    <row r="483" ht="15.75" customHeight="1">
      <c r="A483" s="200"/>
      <c r="B483" s="201"/>
      <c r="C483" s="201"/>
      <c r="D483" s="201"/>
      <c r="E483" s="201"/>
      <c r="F483" s="201"/>
      <c r="I483" s="201"/>
      <c r="N483" s="201"/>
      <c r="O483" s="201"/>
      <c r="S483" s="201"/>
      <c r="T483" s="201"/>
      <c r="AB483" s="201"/>
      <c r="AC483" s="201"/>
      <c r="AD483" s="201"/>
      <c r="AE483" s="201"/>
      <c r="AF483" s="201"/>
      <c r="AG483" s="201"/>
      <c r="AH483" s="201"/>
      <c r="AI483" s="201"/>
      <c r="AJ483" s="201"/>
      <c r="AN483" s="201"/>
      <c r="AP483" s="201"/>
      <c r="AT483" s="201"/>
      <c r="AU483" s="201"/>
    </row>
    <row r="484" ht="15.75" customHeight="1">
      <c r="A484" s="200"/>
      <c r="B484" s="201"/>
      <c r="C484" s="201"/>
      <c r="D484" s="201"/>
      <c r="E484" s="201"/>
      <c r="F484" s="201"/>
      <c r="I484" s="201"/>
      <c r="N484" s="201"/>
      <c r="O484" s="201"/>
      <c r="S484" s="201"/>
      <c r="T484" s="201"/>
      <c r="AB484" s="201"/>
      <c r="AC484" s="201"/>
      <c r="AD484" s="201"/>
      <c r="AE484" s="201"/>
      <c r="AF484" s="201"/>
      <c r="AG484" s="201"/>
      <c r="AH484" s="201"/>
      <c r="AI484" s="201"/>
      <c r="AJ484" s="201"/>
      <c r="AN484" s="201"/>
      <c r="AP484" s="201"/>
      <c r="AT484" s="201"/>
      <c r="AU484" s="201"/>
    </row>
    <row r="485" ht="15.75" customHeight="1">
      <c r="A485" s="200"/>
      <c r="B485" s="201"/>
      <c r="C485" s="201"/>
      <c r="D485" s="201"/>
      <c r="E485" s="201"/>
      <c r="F485" s="201"/>
      <c r="I485" s="201"/>
      <c r="N485" s="201"/>
      <c r="O485" s="201"/>
      <c r="S485" s="201"/>
      <c r="T485" s="201"/>
      <c r="AB485" s="201"/>
      <c r="AC485" s="201"/>
      <c r="AD485" s="201"/>
      <c r="AE485" s="201"/>
      <c r="AF485" s="201"/>
      <c r="AG485" s="201"/>
      <c r="AH485" s="201"/>
      <c r="AI485" s="201"/>
      <c r="AJ485" s="201"/>
      <c r="AN485" s="201"/>
      <c r="AP485" s="201"/>
      <c r="AT485" s="201"/>
      <c r="AU485" s="201"/>
    </row>
    <row r="486" ht="15.75" customHeight="1">
      <c r="A486" s="200"/>
      <c r="B486" s="201"/>
      <c r="C486" s="201"/>
      <c r="D486" s="201"/>
      <c r="E486" s="201"/>
      <c r="F486" s="201"/>
      <c r="I486" s="201"/>
      <c r="N486" s="201"/>
      <c r="O486" s="201"/>
      <c r="S486" s="201"/>
      <c r="T486" s="201"/>
      <c r="AB486" s="201"/>
      <c r="AC486" s="201"/>
      <c r="AD486" s="201"/>
      <c r="AE486" s="201"/>
      <c r="AF486" s="201"/>
      <c r="AG486" s="201"/>
      <c r="AH486" s="201"/>
      <c r="AI486" s="201"/>
      <c r="AJ486" s="201"/>
      <c r="AN486" s="201"/>
      <c r="AP486" s="201"/>
      <c r="AT486" s="201"/>
      <c r="AU486" s="201"/>
    </row>
    <row r="487" ht="15.75" customHeight="1">
      <c r="A487" s="200"/>
      <c r="B487" s="201"/>
      <c r="C487" s="201"/>
      <c r="D487" s="201"/>
      <c r="E487" s="201"/>
      <c r="F487" s="201"/>
      <c r="I487" s="201"/>
      <c r="N487" s="201"/>
      <c r="O487" s="201"/>
      <c r="S487" s="201"/>
      <c r="T487" s="201"/>
      <c r="AB487" s="201"/>
      <c r="AC487" s="201"/>
      <c r="AD487" s="201"/>
      <c r="AE487" s="201"/>
      <c r="AF487" s="201"/>
      <c r="AG487" s="201"/>
      <c r="AH487" s="201"/>
      <c r="AI487" s="201"/>
      <c r="AJ487" s="201"/>
      <c r="AN487" s="201"/>
      <c r="AP487" s="201"/>
      <c r="AT487" s="201"/>
      <c r="AU487" s="201"/>
    </row>
    <row r="488" ht="15.75" customHeight="1">
      <c r="A488" s="200"/>
      <c r="B488" s="201"/>
      <c r="C488" s="201"/>
      <c r="D488" s="201"/>
      <c r="E488" s="201"/>
      <c r="F488" s="201"/>
      <c r="I488" s="201"/>
      <c r="N488" s="201"/>
      <c r="O488" s="201"/>
      <c r="S488" s="201"/>
      <c r="T488" s="201"/>
      <c r="AB488" s="201"/>
      <c r="AC488" s="201"/>
      <c r="AD488" s="201"/>
      <c r="AE488" s="201"/>
      <c r="AF488" s="201"/>
      <c r="AG488" s="201"/>
      <c r="AH488" s="201"/>
      <c r="AI488" s="201"/>
      <c r="AJ488" s="201"/>
      <c r="AN488" s="201"/>
      <c r="AP488" s="201"/>
      <c r="AT488" s="201"/>
      <c r="AU488" s="201"/>
    </row>
    <row r="489" ht="15.75" customHeight="1">
      <c r="A489" s="200"/>
      <c r="B489" s="201"/>
      <c r="C489" s="201"/>
      <c r="D489" s="201"/>
      <c r="E489" s="201"/>
      <c r="F489" s="201"/>
      <c r="I489" s="201"/>
      <c r="N489" s="201"/>
      <c r="O489" s="201"/>
      <c r="S489" s="201"/>
      <c r="T489" s="201"/>
      <c r="AB489" s="201"/>
      <c r="AC489" s="201"/>
      <c r="AD489" s="201"/>
      <c r="AE489" s="201"/>
      <c r="AF489" s="201"/>
      <c r="AG489" s="201"/>
      <c r="AH489" s="201"/>
      <c r="AI489" s="201"/>
      <c r="AJ489" s="201"/>
      <c r="AN489" s="201"/>
      <c r="AP489" s="201"/>
      <c r="AT489" s="201"/>
      <c r="AU489" s="201"/>
    </row>
    <row r="490" ht="15.75" customHeight="1">
      <c r="A490" s="200"/>
      <c r="B490" s="201"/>
      <c r="C490" s="201"/>
      <c r="D490" s="201"/>
      <c r="E490" s="201"/>
      <c r="F490" s="201"/>
      <c r="I490" s="201"/>
      <c r="N490" s="201"/>
      <c r="O490" s="201"/>
      <c r="S490" s="201"/>
      <c r="T490" s="201"/>
      <c r="AB490" s="201"/>
      <c r="AC490" s="201"/>
      <c r="AD490" s="201"/>
      <c r="AE490" s="201"/>
      <c r="AF490" s="201"/>
      <c r="AG490" s="201"/>
      <c r="AH490" s="201"/>
      <c r="AI490" s="201"/>
      <c r="AJ490" s="201"/>
      <c r="AN490" s="201"/>
      <c r="AP490" s="201"/>
      <c r="AT490" s="201"/>
      <c r="AU490" s="201"/>
    </row>
    <row r="491" ht="15.75" customHeight="1">
      <c r="A491" s="200"/>
      <c r="B491" s="201"/>
      <c r="C491" s="201"/>
      <c r="D491" s="201"/>
      <c r="E491" s="201"/>
      <c r="F491" s="201"/>
      <c r="I491" s="201"/>
      <c r="N491" s="201"/>
      <c r="O491" s="201"/>
      <c r="S491" s="201"/>
      <c r="T491" s="201"/>
      <c r="AB491" s="201"/>
      <c r="AC491" s="201"/>
      <c r="AD491" s="201"/>
      <c r="AE491" s="201"/>
      <c r="AF491" s="201"/>
      <c r="AG491" s="201"/>
      <c r="AH491" s="201"/>
      <c r="AI491" s="201"/>
      <c r="AJ491" s="201"/>
      <c r="AN491" s="201"/>
      <c r="AP491" s="201"/>
      <c r="AT491" s="201"/>
      <c r="AU491" s="201"/>
    </row>
    <row r="492" ht="15.75" customHeight="1">
      <c r="A492" s="200"/>
      <c r="B492" s="201"/>
      <c r="C492" s="201"/>
      <c r="D492" s="201"/>
      <c r="E492" s="201"/>
      <c r="F492" s="201"/>
      <c r="I492" s="201"/>
      <c r="N492" s="201"/>
      <c r="O492" s="201"/>
      <c r="S492" s="201"/>
      <c r="T492" s="201"/>
      <c r="AB492" s="201"/>
      <c r="AC492" s="201"/>
      <c r="AD492" s="201"/>
      <c r="AE492" s="201"/>
      <c r="AF492" s="201"/>
      <c r="AG492" s="201"/>
      <c r="AH492" s="201"/>
      <c r="AI492" s="201"/>
      <c r="AJ492" s="201"/>
      <c r="AN492" s="201"/>
      <c r="AP492" s="201"/>
      <c r="AT492" s="201"/>
      <c r="AU492" s="201"/>
    </row>
    <row r="493" ht="15.75" customHeight="1">
      <c r="A493" s="200"/>
      <c r="B493" s="201"/>
      <c r="C493" s="201"/>
      <c r="D493" s="201"/>
      <c r="E493" s="201"/>
      <c r="F493" s="201"/>
      <c r="I493" s="201"/>
      <c r="N493" s="201"/>
      <c r="O493" s="201"/>
      <c r="S493" s="201"/>
      <c r="T493" s="201"/>
      <c r="AB493" s="201"/>
      <c r="AC493" s="201"/>
      <c r="AD493" s="201"/>
      <c r="AE493" s="201"/>
      <c r="AF493" s="201"/>
      <c r="AG493" s="201"/>
      <c r="AH493" s="201"/>
      <c r="AI493" s="201"/>
      <c r="AJ493" s="201"/>
      <c r="AN493" s="201"/>
      <c r="AP493" s="201"/>
      <c r="AT493" s="201"/>
      <c r="AU493" s="201"/>
    </row>
    <row r="494" ht="15.75" customHeight="1">
      <c r="A494" s="200"/>
      <c r="B494" s="201"/>
      <c r="C494" s="201"/>
      <c r="D494" s="201"/>
      <c r="E494" s="201"/>
      <c r="F494" s="201"/>
      <c r="I494" s="201"/>
      <c r="N494" s="201"/>
      <c r="O494" s="201"/>
      <c r="S494" s="201"/>
      <c r="T494" s="201"/>
      <c r="AB494" s="201"/>
      <c r="AC494" s="201"/>
      <c r="AD494" s="201"/>
      <c r="AE494" s="201"/>
      <c r="AF494" s="201"/>
      <c r="AG494" s="201"/>
      <c r="AH494" s="201"/>
      <c r="AI494" s="201"/>
      <c r="AJ494" s="201"/>
      <c r="AN494" s="201"/>
      <c r="AP494" s="201"/>
      <c r="AT494" s="201"/>
      <c r="AU494" s="201"/>
    </row>
    <row r="495" ht="15.75" customHeight="1">
      <c r="A495" s="200"/>
      <c r="B495" s="201"/>
      <c r="C495" s="201"/>
      <c r="D495" s="201"/>
      <c r="E495" s="201"/>
      <c r="F495" s="201"/>
      <c r="I495" s="201"/>
      <c r="N495" s="201"/>
      <c r="O495" s="201"/>
      <c r="S495" s="201"/>
      <c r="T495" s="201"/>
      <c r="AB495" s="201"/>
      <c r="AC495" s="201"/>
      <c r="AD495" s="201"/>
      <c r="AE495" s="201"/>
      <c r="AF495" s="201"/>
      <c r="AG495" s="201"/>
      <c r="AH495" s="201"/>
      <c r="AI495" s="201"/>
      <c r="AJ495" s="201"/>
      <c r="AN495" s="201"/>
      <c r="AP495" s="201"/>
      <c r="AT495" s="201"/>
      <c r="AU495" s="201"/>
    </row>
    <row r="496" ht="15.75" customHeight="1">
      <c r="A496" s="200"/>
      <c r="B496" s="201"/>
      <c r="C496" s="201"/>
      <c r="D496" s="201"/>
      <c r="E496" s="201"/>
      <c r="F496" s="201"/>
      <c r="I496" s="201"/>
      <c r="N496" s="201"/>
      <c r="O496" s="201"/>
      <c r="S496" s="201"/>
      <c r="T496" s="201"/>
      <c r="AB496" s="201"/>
      <c r="AC496" s="201"/>
      <c r="AD496" s="201"/>
      <c r="AE496" s="201"/>
      <c r="AF496" s="201"/>
      <c r="AG496" s="201"/>
      <c r="AH496" s="201"/>
      <c r="AI496" s="201"/>
      <c r="AJ496" s="201"/>
      <c r="AN496" s="201"/>
      <c r="AP496" s="201"/>
      <c r="AT496" s="201"/>
      <c r="AU496" s="201"/>
    </row>
    <row r="497" ht="15.75" customHeight="1">
      <c r="A497" s="200"/>
      <c r="B497" s="201"/>
      <c r="C497" s="201"/>
      <c r="D497" s="201"/>
      <c r="E497" s="201"/>
      <c r="F497" s="201"/>
      <c r="I497" s="201"/>
      <c r="N497" s="201"/>
      <c r="O497" s="201"/>
      <c r="S497" s="201"/>
      <c r="T497" s="201"/>
      <c r="AB497" s="201"/>
      <c r="AC497" s="201"/>
      <c r="AD497" s="201"/>
      <c r="AE497" s="201"/>
      <c r="AF497" s="201"/>
      <c r="AG497" s="201"/>
      <c r="AH497" s="201"/>
      <c r="AI497" s="201"/>
      <c r="AJ497" s="201"/>
      <c r="AN497" s="201"/>
      <c r="AP497" s="201"/>
      <c r="AT497" s="201"/>
      <c r="AU497" s="201"/>
    </row>
    <row r="498" ht="15.75" customHeight="1">
      <c r="A498" s="200"/>
      <c r="B498" s="201"/>
      <c r="C498" s="201"/>
      <c r="D498" s="201"/>
      <c r="E498" s="201"/>
      <c r="F498" s="201"/>
      <c r="I498" s="201"/>
      <c r="N498" s="201"/>
      <c r="O498" s="201"/>
      <c r="S498" s="201"/>
      <c r="T498" s="201"/>
      <c r="AB498" s="201"/>
      <c r="AC498" s="201"/>
      <c r="AD498" s="201"/>
      <c r="AE498" s="201"/>
      <c r="AF498" s="201"/>
      <c r="AG498" s="201"/>
      <c r="AH498" s="201"/>
      <c r="AI498" s="201"/>
      <c r="AJ498" s="201"/>
      <c r="AN498" s="201"/>
      <c r="AP498" s="201"/>
      <c r="AT498" s="201"/>
      <c r="AU498" s="201"/>
    </row>
    <row r="499" ht="15.75" customHeight="1">
      <c r="A499" s="200"/>
      <c r="B499" s="201"/>
      <c r="C499" s="201"/>
      <c r="D499" s="201"/>
      <c r="E499" s="201"/>
      <c r="F499" s="201"/>
      <c r="I499" s="201"/>
      <c r="N499" s="201"/>
      <c r="O499" s="201"/>
      <c r="S499" s="201"/>
      <c r="T499" s="201"/>
      <c r="AB499" s="201"/>
      <c r="AC499" s="201"/>
      <c r="AD499" s="201"/>
      <c r="AE499" s="201"/>
      <c r="AF499" s="201"/>
      <c r="AG499" s="201"/>
      <c r="AH499" s="201"/>
      <c r="AI499" s="201"/>
      <c r="AJ499" s="201"/>
      <c r="AN499" s="201"/>
      <c r="AP499" s="201"/>
      <c r="AT499" s="201"/>
      <c r="AU499" s="201"/>
    </row>
    <row r="500" ht="15.75" customHeight="1">
      <c r="A500" s="200"/>
      <c r="B500" s="201"/>
      <c r="C500" s="201"/>
      <c r="D500" s="201"/>
      <c r="E500" s="201"/>
      <c r="F500" s="201"/>
      <c r="I500" s="201"/>
      <c r="N500" s="201"/>
      <c r="O500" s="201"/>
      <c r="S500" s="201"/>
      <c r="T500" s="201"/>
      <c r="AB500" s="201"/>
      <c r="AC500" s="201"/>
      <c r="AD500" s="201"/>
      <c r="AE500" s="201"/>
      <c r="AF500" s="201"/>
      <c r="AG500" s="201"/>
      <c r="AH500" s="201"/>
      <c r="AI500" s="201"/>
      <c r="AJ500" s="201"/>
      <c r="AN500" s="201"/>
      <c r="AP500" s="201"/>
      <c r="AT500" s="201"/>
      <c r="AU500" s="201"/>
    </row>
    <row r="501" ht="15.75" customHeight="1">
      <c r="A501" s="200"/>
      <c r="B501" s="201"/>
      <c r="C501" s="201"/>
      <c r="D501" s="201"/>
      <c r="E501" s="201"/>
      <c r="F501" s="201"/>
      <c r="I501" s="201"/>
      <c r="N501" s="201"/>
      <c r="O501" s="201"/>
      <c r="S501" s="201"/>
      <c r="T501" s="201"/>
      <c r="AB501" s="201"/>
      <c r="AC501" s="201"/>
      <c r="AD501" s="201"/>
      <c r="AE501" s="201"/>
      <c r="AF501" s="201"/>
      <c r="AG501" s="201"/>
      <c r="AH501" s="201"/>
      <c r="AI501" s="201"/>
      <c r="AJ501" s="201"/>
      <c r="AN501" s="201"/>
      <c r="AP501" s="201"/>
      <c r="AT501" s="201"/>
      <c r="AU501" s="201"/>
    </row>
    <row r="502" ht="15.75" customHeight="1">
      <c r="A502" s="200"/>
      <c r="B502" s="201"/>
      <c r="C502" s="201"/>
      <c r="D502" s="201"/>
      <c r="E502" s="201"/>
      <c r="F502" s="201"/>
      <c r="I502" s="201"/>
      <c r="N502" s="201"/>
      <c r="O502" s="201"/>
      <c r="S502" s="201"/>
      <c r="T502" s="201"/>
      <c r="AB502" s="201"/>
      <c r="AC502" s="201"/>
      <c r="AD502" s="201"/>
      <c r="AE502" s="201"/>
      <c r="AF502" s="201"/>
      <c r="AG502" s="201"/>
      <c r="AH502" s="201"/>
      <c r="AI502" s="201"/>
      <c r="AJ502" s="201"/>
      <c r="AN502" s="201"/>
      <c r="AP502" s="201"/>
      <c r="AT502" s="201"/>
      <c r="AU502" s="201"/>
    </row>
    <row r="503" ht="15.75" customHeight="1">
      <c r="A503" s="200"/>
      <c r="B503" s="201"/>
      <c r="C503" s="201"/>
      <c r="D503" s="201"/>
      <c r="E503" s="201"/>
      <c r="F503" s="201"/>
      <c r="I503" s="201"/>
      <c r="N503" s="201"/>
      <c r="O503" s="201"/>
      <c r="S503" s="201"/>
      <c r="T503" s="201"/>
      <c r="AB503" s="201"/>
      <c r="AC503" s="201"/>
      <c r="AD503" s="201"/>
      <c r="AE503" s="201"/>
      <c r="AF503" s="201"/>
      <c r="AG503" s="201"/>
      <c r="AH503" s="201"/>
      <c r="AI503" s="201"/>
      <c r="AJ503" s="201"/>
      <c r="AN503" s="201"/>
      <c r="AP503" s="201"/>
      <c r="AT503" s="201"/>
      <c r="AU503" s="201"/>
    </row>
    <row r="504" ht="15.75" customHeight="1">
      <c r="A504" s="200"/>
      <c r="B504" s="201"/>
      <c r="C504" s="201"/>
      <c r="D504" s="201"/>
      <c r="E504" s="201"/>
      <c r="F504" s="201"/>
      <c r="I504" s="201"/>
      <c r="N504" s="201"/>
      <c r="O504" s="201"/>
      <c r="S504" s="201"/>
      <c r="T504" s="201"/>
      <c r="AB504" s="201"/>
      <c r="AC504" s="201"/>
      <c r="AD504" s="201"/>
      <c r="AE504" s="201"/>
      <c r="AF504" s="201"/>
      <c r="AG504" s="201"/>
      <c r="AH504" s="201"/>
      <c r="AI504" s="201"/>
      <c r="AJ504" s="201"/>
      <c r="AN504" s="201"/>
      <c r="AP504" s="201"/>
      <c r="AT504" s="201"/>
      <c r="AU504" s="201"/>
    </row>
    <row r="505" ht="15.75" customHeight="1">
      <c r="A505" s="200"/>
      <c r="B505" s="201"/>
      <c r="C505" s="201"/>
      <c r="D505" s="201"/>
      <c r="E505" s="201"/>
      <c r="F505" s="201"/>
      <c r="I505" s="201"/>
      <c r="N505" s="201"/>
      <c r="O505" s="201"/>
      <c r="S505" s="201"/>
      <c r="T505" s="201"/>
      <c r="AB505" s="201"/>
      <c r="AC505" s="201"/>
      <c r="AD505" s="201"/>
      <c r="AE505" s="201"/>
      <c r="AF505" s="201"/>
      <c r="AG505" s="201"/>
      <c r="AH505" s="201"/>
      <c r="AI505" s="201"/>
      <c r="AJ505" s="201"/>
      <c r="AN505" s="201"/>
      <c r="AP505" s="201"/>
      <c r="AT505" s="201"/>
      <c r="AU505" s="201"/>
    </row>
    <row r="506" ht="15.75" customHeight="1">
      <c r="A506" s="200"/>
      <c r="B506" s="201"/>
      <c r="C506" s="201"/>
      <c r="D506" s="201"/>
      <c r="E506" s="201"/>
      <c r="F506" s="201"/>
      <c r="I506" s="201"/>
      <c r="N506" s="201"/>
      <c r="O506" s="201"/>
      <c r="S506" s="201"/>
      <c r="T506" s="201"/>
      <c r="AB506" s="201"/>
      <c r="AC506" s="201"/>
      <c r="AD506" s="201"/>
      <c r="AE506" s="201"/>
      <c r="AF506" s="201"/>
      <c r="AG506" s="201"/>
      <c r="AH506" s="201"/>
      <c r="AI506" s="201"/>
      <c r="AJ506" s="201"/>
      <c r="AN506" s="201"/>
      <c r="AP506" s="201"/>
      <c r="AT506" s="201"/>
      <c r="AU506" s="201"/>
    </row>
    <row r="507" ht="15.75" customHeight="1">
      <c r="A507" s="200"/>
      <c r="B507" s="201"/>
      <c r="C507" s="201"/>
      <c r="D507" s="201"/>
      <c r="E507" s="201"/>
      <c r="F507" s="201"/>
      <c r="I507" s="201"/>
      <c r="N507" s="201"/>
      <c r="O507" s="201"/>
      <c r="S507" s="201"/>
      <c r="T507" s="201"/>
      <c r="AB507" s="201"/>
      <c r="AC507" s="201"/>
      <c r="AD507" s="201"/>
      <c r="AE507" s="201"/>
      <c r="AF507" s="201"/>
      <c r="AG507" s="201"/>
      <c r="AH507" s="201"/>
      <c r="AI507" s="201"/>
      <c r="AJ507" s="201"/>
      <c r="AN507" s="201"/>
      <c r="AP507" s="201"/>
      <c r="AT507" s="201"/>
      <c r="AU507" s="201"/>
    </row>
    <row r="508" ht="15.75" customHeight="1">
      <c r="A508" s="200"/>
      <c r="B508" s="201"/>
      <c r="C508" s="201"/>
      <c r="D508" s="201"/>
      <c r="E508" s="201"/>
      <c r="F508" s="201"/>
      <c r="I508" s="201"/>
      <c r="N508" s="201"/>
      <c r="O508" s="201"/>
      <c r="S508" s="201"/>
      <c r="T508" s="201"/>
      <c r="AB508" s="201"/>
      <c r="AC508" s="201"/>
      <c r="AD508" s="201"/>
      <c r="AE508" s="201"/>
      <c r="AF508" s="201"/>
      <c r="AG508" s="201"/>
      <c r="AH508" s="201"/>
      <c r="AI508" s="201"/>
      <c r="AJ508" s="201"/>
      <c r="AN508" s="201"/>
      <c r="AP508" s="201"/>
      <c r="AT508" s="201"/>
      <c r="AU508" s="201"/>
    </row>
    <row r="509" ht="15.75" customHeight="1">
      <c r="A509" s="200"/>
      <c r="B509" s="201"/>
      <c r="C509" s="201"/>
      <c r="D509" s="201"/>
      <c r="E509" s="201"/>
      <c r="F509" s="201"/>
      <c r="I509" s="201"/>
      <c r="N509" s="201"/>
      <c r="O509" s="201"/>
      <c r="S509" s="201"/>
      <c r="T509" s="201"/>
      <c r="AB509" s="201"/>
      <c r="AC509" s="201"/>
      <c r="AD509" s="201"/>
      <c r="AE509" s="201"/>
      <c r="AF509" s="201"/>
      <c r="AG509" s="201"/>
      <c r="AH509" s="201"/>
      <c r="AI509" s="201"/>
      <c r="AJ509" s="201"/>
      <c r="AN509" s="201"/>
      <c r="AP509" s="201"/>
      <c r="AT509" s="201"/>
      <c r="AU509" s="201"/>
    </row>
    <row r="510" ht="15.75" customHeight="1">
      <c r="A510" s="200"/>
      <c r="B510" s="201"/>
      <c r="C510" s="201"/>
      <c r="D510" s="201"/>
      <c r="E510" s="201"/>
      <c r="F510" s="201"/>
      <c r="I510" s="201"/>
      <c r="N510" s="201"/>
      <c r="O510" s="201"/>
      <c r="S510" s="201"/>
      <c r="T510" s="201"/>
      <c r="AB510" s="201"/>
      <c r="AC510" s="201"/>
      <c r="AD510" s="201"/>
      <c r="AE510" s="201"/>
      <c r="AF510" s="201"/>
      <c r="AG510" s="201"/>
      <c r="AH510" s="201"/>
      <c r="AI510" s="201"/>
      <c r="AJ510" s="201"/>
      <c r="AN510" s="201"/>
      <c r="AP510" s="201"/>
      <c r="AT510" s="201"/>
      <c r="AU510" s="201"/>
    </row>
    <row r="511" ht="15.75" customHeight="1">
      <c r="A511" s="200"/>
      <c r="B511" s="201"/>
      <c r="C511" s="201"/>
      <c r="D511" s="201"/>
      <c r="E511" s="201"/>
      <c r="F511" s="201"/>
      <c r="I511" s="201"/>
      <c r="N511" s="201"/>
      <c r="O511" s="201"/>
      <c r="S511" s="201"/>
      <c r="T511" s="201"/>
      <c r="AB511" s="201"/>
      <c r="AC511" s="201"/>
      <c r="AD511" s="201"/>
      <c r="AE511" s="201"/>
      <c r="AF511" s="201"/>
      <c r="AG511" s="201"/>
      <c r="AH511" s="201"/>
      <c r="AI511" s="201"/>
      <c r="AJ511" s="201"/>
      <c r="AN511" s="201"/>
      <c r="AP511" s="201"/>
      <c r="AT511" s="201"/>
      <c r="AU511" s="201"/>
    </row>
    <row r="512" ht="15.75" customHeight="1">
      <c r="A512" s="200"/>
      <c r="B512" s="201"/>
      <c r="C512" s="201"/>
      <c r="D512" s="201"/>
      <c r="E512" s="201"/>
      <c r="F512" s="201"/>
      <c r="I512" s="201"/>
      <c r="N512" s="201"/>
      <c r="O512" s="201"/>
      <c r="S512" s="201"/>
      <c r="T512" s="201"/>
      <c r="AB512" s="201"/>
      <c r="AC512" s="201"/>
      <c r="AD512" s="201"/>
      <c r="AE512" s="201"/>
      <c r="AF512" s="201"/>
      <c r="AG512" s="201"/>
      <c r="AH512" s="201"/>
      <c r="AI512" s="201"/>
      <c r="AJ512" s="201"/>
      <c r="AN512" s="201"/>
      <c r="AP512" s="201"/>
      <c r="AT512" s="201"/>
      <c r="AU512" s="201"/>
    </row>
    <row r="513" ht="15.75" customHeight="1">
      <c r="A513" s="200"/>
      <c r="B513" s="201"/>
      <c r="C513" s="201"/>
      <c r="D513" s="201"/>
      <c r="E513" s="201"/>
      <c r="F513" s="201"/>
      <c r="I513" s="201"/>
      <c r="N513" s="201"/>
      <c r="O513" s="201"/>
      <c r="S513" s="201"/>
      <c r="T513" s="201"/>
      <c r="AB513" s="201"/>
      <c r="AC513" s="201"/>
      <c r="AD513" s="201"/>
      <c r="AE513" s="201"/>
      <c r="AF513" s="201"/>
      <c r="AG513" s="201"/>
      <c r="AH513" s="201"/>
      <c r="AI513" s="201"/>
      <c r="AJ513" s="201"/>
      <c r="AN513" s="201"/>
      <c r="AP513" s="201"/>
      <c r="AT513" s="201"/>
      <c r="AU513" s="201"/>
    </row>
    <row r="514" ht="15.75" customHeight="1">
      <c r="A514" s="200"/>
      <c r="B514" s="201"/>
      <c r="C514" s="201"/>
      <c r="D514" s="201"/>
      <c r="E514" s="201"/>
      <c r="F514" s="201"/>
      <c r="I514" s="201"/>
      <c r="N514" s="201"/>
      <c r="O514" s="201"/>
      <c r="S514" s="201"/>
      <c r="T514" s="201"/>
      <c r="AB514" s="201"/>
      <c r="AC514" s="201"/>
      <c r="AD514" s="201"/>
      <c r="AE514" s="201"/>
      <c r="AF514" s="201"/>
      <c r="AG514" s="201"/>
      <c r="AH514" s="201"/>
      <c r="AI514" s="201"/>
      <c r="AJ514" s="201"/>
      <c r="AN514" s="201"/>
      <c r="AP514" s="201"/>
      <c r="AT514" s="201"/>
      <c r="AU514" s="201"/>
    </row>
    <row r="515" ht="15.75" customHeight="1">
      <c r="A515" s="200"/>
      <c r="B515" s="201"/>
      <c r="C515" s="201"/>
      <c r="D515" s="201"/>
      <c r="E515" s="201"/>
      <c r="F515" s="201"/>
      <c r="I515" s="201"/>
      <c r="N515" s="201"/>
      <c r="O515" s="201"/>
      <c r="S515" s="201"/>
      <c r="T515" s="201"/>
      <c r="AB515" s="201"/>
      <c r="AC515" s="201"/>
      <c r="AD515" s="201"/>
      <c r="AE515" s="201"/>
      <c r="AF515" s="201"/>
      <c r="AG515" s="201"/>
      <c r="AH515" s="201"/>
      <c r="AI515" s="201"/>
      <c r="AJ515" s="201"/>
      <c r="AN515" s="201"/>
      <c r="AP515" s="201"/>
      <c r="AT515" s="201"/>
      <c r="AU515" s="201"/>
    </row>
    <row r="516" ht="15.75" customHeight="1">
      <c r="A516" s="200"/>
      <c r="B516" s="201"/>
      <c r="C516" s="201"/>
      <c r="D516" s="201"/>
      <c r="E516" s="201"/>
      <c r="F516" s="201"/>
      <c r="I516" s="201"/>
      <c r="N516" s="201"/>
      <c r="O516" s="201"/>
      <c r="S516" s="201"/>
      <c r="T516" s="201"/>
      <c r="AB516" s="201"/>
      <c r="AC516" s="201"/>
      <c r="AD516" s="201"/>
      <c r="AE516" s="201"/>
      <c r="AF516" s="201"/>
      <c r="AG516" s="201"/>
      <c r="AH516" s="201"/>
      <c r="AI516" s="201"/>
      <c r="AJ516" s="201"/>
      <c r="AN516" s="201"/>
      <c r="AP516" s="201"/>
      <c r="AT516" s="201"/>
      <c r="AU516" s="201"/>
    </row>
    <row r="517" ht="15.75" customHeight="1">
      <c r="A517" s="200"/>
      <c r="B517" s="201"/>
      <c r="C517" s="201"/>
      <c r="D517" s="201"/>
      <c r="E517" s="201"/>
      <c r="F517" s="201"/>
      <c r="I517" s="201"/>
      <c r="N517" s="201"/>
      <c r="O517" s="201"/>
      <c r="S517" s="201"/>
      <c r="T517" s="201"/>
      <c r="AB517" s="201"/>
      <c r="AC517" s="201"/>
      <c r="AD517" s="201"/>
      <c r="AE517" s="201"/>
      <c r="AF517" s="201"/>
      <c r="AG517" s="201"/>
      <c r="AH517" s="201"/>
      <c r="AI517" s="201"/>
      <c r="AJ517" s="201"/>
      <c r="AN517" s="201"/>
      <c r="AP517" s="201"/>
      <c r="AT517" s="201"/>
      <c r="AU517" s="201"/>
    </row>
    <row r="518" ht="15.75" customHeight="1">
      <c r="A518" s="200"/>
      <c r="B518" s="201"/>
      <c r="C518" s="201"/>
      <c r="D518" s="201"/>
      <c r="E518" s="201"/>
      <c r="F518" s="201"/>
      <c r="I518" s="201"/>
      <c r="N518" s="201"/>
      <c r="O518" s="201"/>
      <c r="S518" s="201"/>
      <c r="T518" s="201"/>
      <c r="AB518" s="201"/>
      <c r="AC518" s="201"/>
      <c r="AD518" s="201"/>
      <c r="AE518" s="201"/>
      <c r="AF518" s="201"/>
      <c r="AG518" s="201"/>
      <c r="AH518" s="201"/>
      <c r="AI518" s="201"/>
      <c r="AJ518" s="201"/>
      <c r="AN518" s="201"/>
      <c r="AP518" s="201"/>
      <c r="AT518" s="201"/>
      <c r="AU518" s="201"/>
    </row>
    <row r="519" ht="15.75" customHeight="1">
      <c r="A519" s="200"/>
      <c r="B519" s="201"/>
      <c r="C519" s="201"/>
      <c r="D519" s="201"/>
      <c r="E519" s="201"/>
      <c r="F519" s="201"/>
      <c r="I519" s="201"/>
      <c r="N519" s="201"/>
      <c r="O519" s="201"/>
      <c r="S519" s="201"/>
      <c r="T519" s="201"/>
      <c r="AB519" s="201"/>
      <c r="AC519" s="201"/>
      <c r="AD519" s="201"/>
      <c r="AE519" s="201"/>
      <c r="AF519" s="201"/>
      <c r="AG519" s="201"/>
      <c r="AH519" s="201"/>
      <c r="AI519" s="201"/>
      <c r="AJ519" s="201"/>
      <c r="AN519" s="201"/>
      <c r="AP519" s="201"/>
      <c r="AT519" s="201"/>
      <c r="AU519" s="201"/>
    </row>
    <row r="520" ht="15.75" customHeight="1">
      <c r="A520" s="200"/>
      <c r="B520" s="201"/>
      <c r="C520" s="201"/>
      <c r="D520" s="201"/>
      <c r="E520" s="201"/>
      <c r="F520" s="201"/>
      <c r="I520" s="201"/>
      <c r="N520" s="201"/>
      <c r="O520" s="201"/>
      <c r="S520" s="201"/>
      <c r="T520" s="201"/>
      <c r="AB520" s="201"/>
      <c r="AC520" s="201"/>
      <c r="AD520" s="201"/>
      <c r="AE520" s="201"/>
      <c r="AF520" s="201"/>
      <c r="AG520" s="201"/>
      <c r="AH520" s="201"/>
      <c r="AI520" s="201"/>
      <c r="AJ520" s="201"/>
      <c r="AN520" s="201"/>
      <c r="AP520" s="201"/>
      <c r="AT520" s="201"/>
      <c r="AU520" s="201"/>
    </row>
    <row r="521" ht="15.75" customHeight="1">
      <c r="A521" s="200"/>
      <c r="B521" s="201"/>
      <c r="C521" s="201"/>
      <c r="D521" s="201"/>
      <c r="E521" s="201"/>
      <c r="F521" s="201"/>
      <c r="I521" s="201"/>
      <c r="N521" s="201"/>
      <c r="O521" s="201"/>
      <c r="S521" s="201"/>
      <c r="T521" s="201"/>
      <c r="AB521" s="201"/>
      <c r="AC521" s="201"/>
      <c r="AD521" s="201"/>
      <c r="AE521" s="201"/>
      <c r="AF521" s="201"/>
      <c r="AG521" s="201"/>
      <c r="AH521" s="201"/>
      <c r="AI521" s="201"/>
      <c r="AJ521" s="201"/>
      <c r="AN521" s="201"/>
      <c r="AP521" s="201"/>
      <c r="AT521" s="201"/>
      <c r="AU521" s="201"/>
    </row>
    <row r="522" ht="15.75" customHeight="1">
      <c r="A522" s="200"/>
      <c r="B522" s="201"/>
      <c r="C522" s="201"/>
      <c r="D522" s="201"/>
      <c r="E522" s="201"/>
      <c r="F522" s="201"/>
      <c r="I522" s="201"/>
      <c r="N522" s="201"/>
      <c r="O522" s="201"/>
      <c r="S522" s="201"/>
      <c r="T522" s="201"/>
      <c r="AB522" s="201"/>
      <c r="AC522" s="201"/>
      <c r="AD522" s="201"/>
      <c r="AE522" s="201"/>
      <c r="AF522" s="201"/>
      <c r="AG522" s="201"/>
      <c r="AH522" s="201"/>
      <c r="AI522" s="201"/>
      <c r="AJ522" s="201"/>
      <c r="AN522" s="201"/>
      <c r="AP522" s="201"/>
      <c r="AT522" s="201"/>
      <c r="AU522" s="201"/>
    </row>
    <row r="523" ht="15.75" customHeight="1">
      <c r="A523" s="200"/>
      <c r="B523" s="201"/>
      <c r="C523" s="201"/>
      <c r="D523" s="201"/>
      <c r="E523" s="201"/>
      <c r="F523" s="201"/>
      <c r="I523" s="201"/>
      <c r="N523" s="201"/>
      <c r="O523" s="201"/>
      <c r="S523" s="201"/>
      <c r="T523" s="201"/>
      <c r="AB523" s="201"/>
      <c r="AC523" s="201"/>
      <c r="AD523" s="201"/>
      <c r="AE523" s="201"/>
      <c r="AF523" s="201"/>
      <c r="AG523" s="201"/>
      <c r="AH523" s="201"/>
      <c r="AI523" s="201"/>
      <c r="AJ523" s="201"/>
      <c r="AN523" s="201"/>
      <c r="AP523" s="201"/>
      <c r="AT523" s="201"/>
      <c r="AU523" s="201"/>
    </row>
    <row r="524" ht="15.75" customHeight="1">
      <c r="A524" s="200"/>
      <c r="B524" s="201"/>
      <c r="C524" s="201"/>
      <c r="D524" s="201"/>
      <c r="E524" s="201"/>
      <c r="F524" s="201"/>
      <c r="I524" s="201"/>
      <c r="N524" s="201"/>
      <c r="O524" s="201"/>
      <c r="S524" s="201"/>
      <c r="T524" s="201"/>
      <c r="AB524" s="201"/>
      <c r="AC524" s="201"/>
      <c r="AD524" s="201"/>
      <c r="AE524" s="201"/>
      <c r="AF524" s="201"/>
      <c r="AG524" s="201"/>
      <c r="AH524" s="201"/>
      <c r="AI524" s="201"/>
      <c r="AJ524" s="201"/>
      <c r="AN524" s="201"/>
      <c r="AP524" s="201"/>
      <c r="AT524" s="201"/>
      <c r="AU524" s="201"/>
    </row>
    <row r="525" ht="15.75" customHeight="1">
      <c r="A525" s="200"/>
      <c r="B525" s="201"/>
      <c r="C525" s="201"/>
      <c r="D525" s="201"/>
      <c r="E525" s="201"/>
      <c r="F525" s="201"/>
      <c r="I525" s="201"/>
      <c r="N525" s="201"/>
      <c r="O525" s="201"/>
      <c r="S525" s="201"/>
      <c r="T525" s="201"/>
      <c r="AB525" s="201"/>
      <c r="AC525" s="201"/>
      <c r="AD525" s="201"/>
      <c r="AE525" s="201"/>
      <c r="AF525" s="201"/>
      <c r="AG525" s="201"/>
      <c r="AH525" s="201"/>
      <c r="AI525" s="201"/>
      <c r="AJ525" s="201"/>
      <c r="AN525" s="201"/>
      <c r="AP525" s="201"/>
      <c r="AT525" s="201"/>
      <c r="AU525" s="201"/>
    </row>
    <row r="526" ht="15.75" customHeight="1">
      <c r="A526" s="200"/>
      <c r="B526" s="201"/>
      <c r="C526" s="201"/>
      <c r="D526" s="201"/>
      <c r="E526" s="201"/>
      <c r="F526" s="201"/>
      <c r="I526" s="201"/>
      <c r="N526" s="201"/>
      <c r="O526" s="201"/>
      <c r="S526" s="201"/>
      <c r="T526" s="201"/>
      <c r="AB526" s="201"/>
      <c r="AC526" s="201"/>
      <c r="AD526" s="201"/>
      <c r="AE526" s="201"/>
      <c r="AF526" s="201"/>
      <c r="AG526" s="201"/>
      <c r="AH526" s="201"/>
      <c r="AI526" s="201"/>
      <c r="AJ526" s="201"/>
      <c r="AN526" s="201"/>
      <c r="AP526" s="201"/>
      <c r="AT526" s="201"/>
      <c r="AU526" s="201"/>
    </row>
    <row r="527" ht="15.75" customHeight="1">
      <c r="A527" s="200"/>
      <c r="B527" s="201"/>
      <c r="C527" s="201"/>
      <c r="D527" s="201"/>
      <c r="E527" s="201"/>
      <c r="F527" s="201"/>
      <c r="I527" s="201"/>
      <c r="N527" s="201"/>
      <c r="O527" s="201"/>
      <c r="S527" s="201"/>
      <c r="T527" s="201"/>
      <c r="AB527" s="201"/>
      <c r="AC527" s="201"/>
      <c r="AD527" s="201"/>
      <c r="AE527" s="201"/>
      <c r="AF527" s="201"/>
      <c r="AG527" s="201"/>
      <c r="AH527" s="201"/>
      <c r="AI527" s="201"/>
      <c r="AJ527" s="201"/>
      <c r="AN527" s="201"/>
      <c r="AP527" s="201"/>
      <c r="AT527" s="201"/>
      <c r="AU527" s="201"/>
    </row>
    <row r="528" ht="15.75" customHeight="1">
      <c r="A528" s="200"/>
      <c r="B528" s="201"/>
      <c r="C528" s="201"/>
      <c r="D528" s="201"/>
      <c r="E528" s="201"/>
      <c r="F528" s="201"/>
      <c r="I528" s="201"/>
      <c r="N528" s="201"/>
      <c r="O528" s="201"/>
      <c r="S528" s="201"/>
      <c r="T528" s="201"/>
      <c r="AB528" s="201"/>
      <c r="AC528" s="201"/>
      <c r="AD528" s="201"/>
      <c r="AE528" s="201"/>
      <c r="AF528" s="201"/>
      <c r="AG528" s="201"/>
      <c r="AH528" s="201"/>
      <c r="AI528" s="201"/>
      <c r="AJ528" s="201"/>
      <c r="AN528" s="201"/>
      <c r="AP528" s="201"/>
      <c r="AT528" s="201"/>
      <c r="AU528" s="201"/>
    </row>
    <row r="529" ht="15.75" customHeight="1">
      <c r="A529" s="200"/>
      <c r="B529" s="201"/>
      <c r="C529" s="201"/>
      <c r="D529" s="201"/>
      <c r="E529" s="201"/>
      <c r="F529" s="201"/>
      <c r="I529" s="201"/>
      <c r="N529" s="201"/>
      <c r="O529" s="201"/>
      <c r="S529" s="201"/>
      <c r="T529" s="201"/>
      <c r="AB529" s="201"/>
      <c r="AC529" s="201"/>
      <c r="AD529" s="201"/>
      <c r="AE529" s="201"/>
      <c r="AF529" s="201"/>
      <c r="AG529" s="201"/>
      <c r="AH529" s="201"/>
      <c r="AI529" s="201"/>
      <c r="AJ529" s="201"/>
      <c r="AN529" s="201"/>
      <c r="AP529" s="201"/>
      <c r="AT529" s="201"/>
      <c r="AU529" s="201"/>
    </row>
    <row r="530" ht="15.75" customHeight="1">
      <c r="A530" s="200"/>
      <c r="B530" s="201"/>
      <c r="C530" s="201"/>
      <c r="D530" s="201"/>
      <c r="E530" s="201"/>
      <c r="F530" s="201"/>
      <c r="I530" s="201"/>
      <c r="N530" s="201"/>
      <c r="O530" s="201"/>
      <c r="S530" s="201"/>
      <c r="T530" s="201"/>
      <c r="AB530" s="201"/>
      <c r="AC530" s="201"/>
      <c r="AD530" s="201"/>
      <c r="AE530" s="201"/>
      <c r="AF530" s="201"/>
      <c r="AG530" s="201"/>
      <c r="AH530" s="201"/>
      <c r="AI530" s="201"/>
      <c r="AJ530" s="201"/>
      <c r="AN530" s="201"/>
      <c r="AP530" s="201"/>
      <c r="AT530" s="201"/>
      <c r="AU530" s="201"/>
    </row>
    <row r="531" ht="15.75" customHeight="1">
      <c r="A531" s="200"/>
      <c r="B531" s="201"/>
      <c r="C531" s="201"/>
      <c r="D531" s="201"/>
      <c r="E531" s="201"/>
      <c r="F531" s="201"/>
      <c r="I531" s="201"/>
      <c r="N531" s="201"/>
      <c r="O531" s="201"/>
      <c r="S531" s="201"/>
      <c r="T531" s="201"/>
      <c r="AB531" s="201"/>
      <c r="AC531" s="201"/>
      <c r="AD531" s="201"/>
      <c r="AE531" s="201"/>
      <c r="AF531" s="201"/>
      <c r="AG531" s="201"/>
      <c r="AH531" s="201"/>
      <c r="AI531" s="201"/>
      <c r="AJ531" s="201"/>
      <c r="AN531" s="201"/>
      <c r="AP531" s="201"/>
      <c r="AT531" s="201"/>
      <c r="AU531" s="201"/>
    </row>
    <row r="532" ht="15.75" customHeight="1">
      <c r="A532" s="200"/>
      <c r="B532" s="201"/>
      <c r="C532" s="201"/>
      <c r="D532" s="201"/>
      <c r="E532" s="201"/>
      <c r="F532" s="201"/>
      <c r="I532" s="201"/>
      <c r="N532" s="201"/>
      <c r="O532" s="201"/>
      <c r="S532" s="201"/>
      <c r="T532" s="201"/>
      <c r="AB532" s="201"/>
      <c r="AC532" s="201"/>
      <c r="AD532" s="201"/>
      <c r="AE532" s="201"/>
      <c r="AF532" s="201"/>
      <c r="AG532" s="201"/>
      <c r="AH532" s="201"/>
      <c r="AI532" s="201"/>
      <c r="AJ532" s="201"/>
      <c r="AN532" s="201"/>
      <c r="AP532" s="201"/>
      <c r="AT532" s="201"/>
      <c r="AU532" s="201"/>
    </row>
    <row r="533" ht="15.75" customHeight="1">
      <c r="A533" s="200"/>
      <c r="B533" s="201"/>
      <c r="C533" s="201"/>
      <c r="D533" s="201"/>
      <c r="E533" s="201"/>
      <c r="F533" s="201"/>
      <c r="I533" s="201"/>
      <c r="N533" s="201"/>
      <c r="O533" s="201"/>
      <c r="S533" s="201"/>
      <c r="T533" s="201"/>
      <c r="AB533" s="201"/>
      <c r="AC533" s="201"/>
      <c r="AD533" s="201"/>
      <c r="AE533" s="201"/>
      <c r="AF533" s="201"/>
      <c r="AG533" s="201"/>
      <c r="AH533" s="201"/>
      <c r="AI533" s="201"/>
      <c r="AJ533" s="201"/>
      <c r="AN533" s="201"/>
      <c r="AP533" s="201"/>
      <c r="AT533" s="201"/>
      <c r="AU533" s="201"/>
    </row>
    <row r="534" ht="15.75" customHeight="1">
      <c r="A534" s="200"/>
      <c r="B534" s="201"/>
      <c r="C534" s="201"/>
      <c r="D534" s="201"/>
      <c r="E534" s="201"/>
      <c r="F534" s="201"/>
      <c r="I534" s="201"/>
      <c r="N534" s="201"/>
      <c r="O534" s="201"/>
      <c r="S534" s="201"/>
      <c r="T534" s="201"/>
      <c r="AB534" s="201"/>
      <c r="AC534" s="201"/>
      <c r="AD534" s="201"/>
      <c r="AE534" s="201"/>
      <c r="AF534" s="201"/>
      <c r="AG534" s="201"/>
      <c r="AH534" s="201"/>
      <c r="AI534" s="201"/>
      <c r="AJ534" s="201"/>
      <c r="AN534" s="201"/>
      <c r="AP534" s="201"/>
      <c r="AT534" s="201"/>
      <c r="AU534" s="201"/>
    </row>
    <row r="535" ht="15.75" customHeight="1">
      <c r="A535" s="200"/>
      <c r="B535" s="201"/>
      <c r="C535" s="201"/>
      <c r="D535" s="201"/>
      <c r="E535" s="201"/>
      <c r="F535" s="201"/>
      <c r="I535" s="201"/>
      <c r="N535" s="201"/>
      <c r="O535" s="201"/>
      <c r="S535" s="201"/>
      <c r="T535" s="201"/>
      <c r="AB535" s="201"/>
      <c r="AC535" s="201"/>
      <c r="AD535" s="201"/>
      <c r="AE535" s="201"/>
      <c r="AF535" s="201"/>
      <c r="AG535" s="201"/>
      <c r="AH535" s="201"/>
      <c r="AI535" s="201"/>
      <c r="AJ535" s="201"/>
      <c r="AN535" s="201"/>
      <c r="AP535" s="201"/>
      <c r="AT535" s="201"/>
      <c r="AU535" s="201"/>
    </row>
    <row r="536" ht="15.75" customHeight="1">
      <c r="A536" s="200"/>
      <c r="B536" s="201"/>
      <c r="C536" s="201"/>
      <c r="D536" s="201"/>
      <c r="E536" s="201"/>
      <c r="F536" s="201"/>
      <c r="I536" s="201"/>
      <c r="N536" s="201"/>
      <c r="O536" s="201"/>
      <c r="S536" s="201"/>
      <c r="T536" s="201"/>
      <c r="AB536" s="201"/>
      <c r="AC536" s="201"/>
      <c r="AD536" s="201"/>
      <c r="AE536" s="201"/>
      <c r="AF536" s="201"/>
      <c r="AG536" s="201"/>
      <c r="AH536" s="201"/>
      <c r="AI536" s="201"/>
      <c r="AJ536" s="201"/>
      <c r="AN536" s="201"/>
      <c r="AP536" s="201"/>
      <c r="AT536" s="201"/>
      <c r="AU536" s="201"/>
    </row>
    <row r="537" ht="15.75" customHeight="1">
      <c r="A537" s="200"/>
      <c r="B537" s="201"/>
      <c r="C537" s="201"/>
      <c r="D537" s="201"/>
      <c r="E537" s="201"/>
      <c r="F537" s="201"/>
      <c r="I537" s="201"/>
      <c r="N537" s="201"/>
      <c r="O537" s="201"/>
      <c r="S537" s="201"/>
      <c r="T537" s="201"/>
      <c r="AB537" s="201"/>
      <c r="AC537" s="201"/>
      <c r="AD537" s="201"/>
      <c r="AE537" s="201"/>
      <c r="AF537" s="201"/>
      <c r="AG537" s="201"/>
      <c r="AH537" s="201"/>
      <c r="AI537" s="201"/>
      <c r="AJ537" s="201"/>
      <c r="AN537" s="201"/>
      <c r="AP537" s="201"/>
      <c r="AT537" s="201"/>
      <c r="AU537" s="201"/>
    </row>
    <row r="538" ht="15.75" customHeight="1">
      <c r="A538" s="200"/>
      <c r="B538" s="201"/>
      <c r="C538" s="201"/>
      <c r="D538" s="201"/>
      <c r="E538" s="201"/>
      <c r="F538" s="201"/>
      <c r="I538" s="201"/>
      <c r="N538" s="201"/>
      <c r="O538" s="201"/>
      <c r="S538" s="201"/>
      <c r="T538" s="201"/>
      <c r="AB538" s="201"/>
      <c r="AC538" s="201"/>
      <c r="AD538" s="201"/>
      <c r="AE538" s="201"/>
      <c r="AF538" s="201"/>
      <c r="AG538" s="201"/>
      <c r="AH538" s="201"/>
      <c r="AI538" s="201"/>
      <c r="AJ538" s="201"/>
      <c r="AN538" s="201"/>
      <c r="AP538" s="201"/>
      <c r="AT538" s="201"/>
      <c r="AU538" s="201"/>
    </row>
    <row r="539" ht="15.75" customHeight="1">
      <c r="A539" s="200"/>
      <c r="B539" s="201"/>
      <c r="C539" s="201"/>
      <c r="D539" s="201"/>
      <c r="E539" s="201"/>
      <c r="F539" s="201"/>
      <c r="I539" s="201"/>
      <c r="N539" s="201"/>
      <c r="O539" s="201"/>
      <c r="S539" s="201"/>
      <c r="T539" s="201"/>
      <c r="AB539" s="201"/>
      <c r="AC539" s="201"/>
      <c r="AD539" s="201"/>
      <c r="AE539" s="201"/>
      <c r="AF539" s="201"/>
      <c r="AG539" s="201"/>
      <c r="AH539" s="201"/>
      <c r="AI539" s="201"/>
      <c r="AJ539" s="201"/>
      <c r="AN539" s="201"/>
      <c r="AP539" s="201"/>
      <c r="AT539" s="201"/>
      <c r="AU539" s="201"/>
    </row>
    <row r="540" ht="15.75" customHeight="1">
      <c r="A540" s="200"/>
      <c r="B540" s="201"/>
      <c r="C540" s="201"/>
      <c r="D540" s="201"/>
      <c r="E540" s="201"/>
      <c r="F540" s="201"/>
      <c r="I540" s="201"/>
      <c r="N540" s="201"/>
      <c r="O540" s="201"/>
      <c r="S540" s="201"/>
      <c r="T540" s="201"/>
      <c r="AB540" s="201"/>
      <c r="AC540" s="201"/>
      <c r="AD540" s="201"/>
      <c r="AE540" s="201"/>
      <c r="AF540" s="201"/>
      <c r="AG540" s="201"/>
      <c r="AH540" s="201"/>
      <c r="AI540" s="201"/>
      <c r="AJ540" s="201"/>
      <c r="AN540" s="201"/>
      <c r="AP540" s="201"/>
      <c r="AT540" s="201"/>
      <c r="AU540" s="201"/>
    </row>
    <row r="541" ht="15.75" customHeight="1">
      <c r="A541" s="200"/>
      <c r="B541" s="201"/>
      <c r="C541" s="201"/>
      <c r="D541" s="201"/>
      <c r="E541" s="201"/>
      <c r="F541" s="201"/>
      <c r="I541" s="201"/>
      <c r="N541" s="201"/>
      <c r="O541" s="201"/>
      <c r="S541" s="201"/>
      <c r="T541" s="201"/>
      <c r="AB541" s="201"/>
      <c r="AC541" s="201"/>
      <c r="AD541" s="201"/>
      <c r="AE541" s="201"/>
      <c r="AF541" s="201"/>
      <c r="AG541" s="201"/>
      <c r="AH541" s="201"/>
      <c r="AI541" s="201"/>
      <c r="AJ541" s="201"/>
      <c r="AN541" s="201"/>
      <c r="AP541" s="201"/>
      <c r="AT541" s="201"/>
      <c r="AU541" s="201"/>
    </row>
    <row r="542" ht="15.75" customHeight="1">
      <c r="A542" s="200"/>
      <c r="B542" s="201"/>
      <c r="C542" s="201"/>
      <c r="D542" s="201"/>
      <c r="E542" s="201"/>
      <c r="F542" s="201"/>
      <c r="I542" s="201"/>
      <c r="N542" s="201"/>
      <c r="O542" s="201"/>
      <c r="S542" s="201"/>
      <c r="T542" s="201"/>
      <c r="AB542" s="201"/>
      <c r="AC542" s="201"/>
      <c r="AD542" s="201"/>
      <c r="AE542" s="201"/>
      <c r="AF542" s="201"/>
      <c r="AG542" s="201"/>
      <c r="AH542" s="201"/>
      <c r="AI542" s="201"/>
      <c r="AJ542" s="201"/>
      <c r="AN542" s="201"/>
      <c r="AP542" s="201"/>
      <c r="AT542" s="201"/>
      <c r="AU542" s="201"/>
    </row>
    <row r="543" ht="15.75" customHeight="1">
      <c r="A543" s="200"/>
      <c r="B543" s="201"/>
      <c r="C543" s="201"/>
      <c r="D543" s="201"/>
      <c r="E543" s="201"/>
      <c r="F543" s="201"/>
      <c r="I543" s="201"/>
      <c r="N543" s="201"/>
      <c r="O543" s="201"/>
      <c r="S543" s="201"/>
      <c r="T543" s="201"/>
      <c r="AB543" s="201"/>
      <c r="AC543" s="201"/>
      <c r="AD543" s="201"/>
      <c r="AE543" s="201"/>
      <c r="AF543" s="201"/>
      <c r="AG543" s="201"/>
      <c r="AH543" s="201"/>
      <c r="AI543" s="201"/>
      <c r="AJ543" s="201"/>
      <c r="AN543" s="201"/>
      <c r="AP543" s="201"/>
      <c r="AT543" s="201"/>
      <c r="AU543" s="201"/>
    </row>
    <row r="544" ht="15.75" customHeight="1">
      <c r="A544" s="200"/>
      <c r="B544" s="201"/>
      <c r="C544" s="201"/>
      <c r="D544" s="201"/>
      <c r="E544" s="201"/>
      <c r="F544" s="201"/>
      <c r="I544" s="201"/>
      <c r="N544" s="201"/>
      <c r="O544" s="201"/>
      <c r="S544" s="201"/>
      <c r="T544" s="201"/>
      <c r="AB544" s="201"/>
      <c r="AC544" s="201"/>
      <c r="AD544" s="201"/>
      <c r="AE544" s="201"/>
      <c r="AF544" s="201"/>
      <c r="AG544" s="201"/>
      <c r="AH544" s="201"/>
      <c r="AI544" s="201"/>
      <c r="AJ544" s="201"/>
      <c r="AN544" s="201"/>
      <c r="AP544" s="201"/>
      <c r="AT544" s="201"/>
      <c r="AU544" s="201"/>
    </row>
    <row r="545" ht="15.75" customHeight="1">
      <c r="A545" s="200"/>
      <c r="B545" s="201"/>
      <c r="C545" s="201"/>
      <c r="D545" s="201"/>
      <c r="E545" s="201"/>
      <c r="F545" s="201"/>
      <c r="I545" s="201"/>
      <c r="N545" s="201"/>
      <c r="O545" s="201"/>
      <c r="S545" s="201"/>
      <c r="T545" s="201"/>
      <c r="AB545" s="201"/>
      <c r="AC545" s="201"/>
      <c r="AD545" s="201"/>
      <c r="AE545" s="201"/>
      <c r="AF545" s="201"/>
      <c r="AG545" s="201"/>
      <c r="AH545" s="201"/>
      <c r="AI545" s="201"/>
      <c r="AJ545" s="201"/>
      <c r="AN545" s="201"/>
      <c r="AP545" s="201"/>
      <c r="AT545" s="201"/>
      <c r="AU545" s="201"/>
    </row>
    <row r="546" ht="15.75" customHeight="1">
      <c r="A546" s="200"/>
      <c r="B546" s="201"/>
      <c r="C546" s="201"/>
      <c r="D546" s="201"/>
      <c r="E546" s="201"/>
      <c r="F546" s="201"/>
      <c r="I546" s="201"/>
      <c r="N546" s="201"/>
      <c r="O546" s="201"/>
      <c r="S546" s="201"/>
      <c r="T546" s="201"/>
      <c r="AB546" s="201"/>
      <c r="AC546" s="201"/>
      <c r="AD546" s="201"/>
      <c r="AE546" s="201"/>
      <c r="AF546" s="201"/>
      <c r="AG546" s="201"/>
      <c r="AH546" s="201"/>
      <c r="AI546" s="201"/>
      <c r="AJ546" s="201"/>
      <c r="AN546" s="201"/>
      <c r="AP546" s="201"/>
      <c r="AT546" s="201"/>
      <c r="AU546" s="201"/>
    </row>
    <row r="547" ht="15.75" customHeight="1">
      <c r="A547" s="200"/>
      <c r="B547" s="201"/>
      <c r="C547" s="201"/>
      <c r="D547" s="201"/>
      <c r="E547" s="201"/>
      <c r="F547" s="201"/>
      <c r="I547" s="201"/>
      <c r="N547" s="201"/>
      <c r="O547" s="201"/>
      <c r="S547" s="201"/>
      <c r="T547" s="201"/>
      <c r="AB547" s="201"/>
      <c r="AC547" s="201"/>
      <c r="AD547" s="201"/>
      <c r="AE547" s="201"/>
      <c r="AF547" s="201"/>
      <c r="AG547" s="201"/>
      <c r="AH547" s="201"/>
      <c r="AI547" s="201"/>
      <c r="AJ547" s="201"/>
      <c r="AN547" s="201"/>
      <c r="AP547" s="201"/>
      <c r="AT547" s="201"/>
      <c r="AU547" s="201"/>
    </row>
    <row r="548" ht="15.75" customHeight="1">
      <c r="A548" s="200"/>
      <c r="B548" s="201"/>
      <c r="C548" s="201"/>
      <c r="D548" s="201"/>
      <c r="E548" s="201"/>
      <c r="F548" s="201"/>
      <c r="I548" s="201"/>
      <c r="N548" s="201"/>
      <c r="O548" s="201"/>
      <c r="S548" s="201"/>
      <c r="T548" s="201"/>
      <c r="AB548" s="201"/>
      <c r="AC548" s="201"/>
      <c r="AD548" s="201"/>
      <c r="AE548" s="201"/>
      <c r="AF548" s="201"/>
      <c r="AG548" s="201"/>
      <c r="AH548" s="201"/>
      <c r="AI548" s="201"/>
      <c r="AJ548" s="201"/>
      <c r="AN548" s="201"/>
      <c r="AP548" s="201"/>
      <c r="AT548" s="201"/>
      <c r="AU548" s="201"/>
    </row>
    <row r="549" ht="15.75" customHeight="1">
      <c r="A549" s="200"/>
      <c r="B549" s="201"/>
      <c r="C549" s="201"/>
      <c r="D549" s="201"/>
      <c r="E549" s="201"/>
      <c r="F549" s="201"/>
      <c r="I549" s="201"/>
      <c r="N549" s="201"/>
      <c r="O549" s="201"/>
      <c r="S549" s="201"/>
      <c r="T549" s="201"/>
      <c r="AB549" s="201"/>
      <c r="AC549" s="201"/>
      <c r="AD549" s="201"/>
      <c r="AE549" s="201"/>
      <c r="AF549" s="201"/>
      <c r="AG549" s="201"/>
      <c r="AH549" s="201"/>
      <c r="AI549" s="201"/>
      <c r="AJ549" s="201"/>
      <c r="AN549" s="201"/>
      <c r="AP549" s="201"/>
      <c r="AT549" s="201"/>
      <c r="AU549" s="201"/>
    </row>
    <row r="550" ht="15.75" customHeight="1">
      <c r="A550" s="200"/>
      <c r="B550" s="201"/>
      <c r="C550" s="201"/>
      <c r="D550" s="201"/>
      <c r="E550" s="201"/>
      <c r="F550" s="201"/>
      <c r="I550" s="201"/>
      <c r="N550" s="201"/>
      <c r="O550" s="201"/>
      <c r="S550" s="201"/>
      <c r="T550" s="201"/>
      <c r="AB550" s="201"/>
      <c r="AC550" s="201"/>
      <c r="AD550" s="201"/>
      <c r="AE550" s="201"/>
      <c r="AF550" s="201"/>
      <c r="AG550" s="201"/>
      <c r="AH550" s="201"/>
      <c r="AI550" s="201"/>
      <c r="AJ550" s="201"/>
      <c r="AN550" s="201"/>
      <c r="AP550" s="201"/>
      <c r="AT550" s="201"/>
      <c r="AU550" s="201"/>
    </row>
    <row r="551" ht="15.75" customHeight="1">
      <c r="A551" s="200"/>
      <c r="B551" s="201"/>
      <c r="C551" s="201"/>
      <c r="D551" s="201"/>
      <c r="E551" s="201"/>
      <c r="F551" s="201"/>
      <c r="I551" s="201"/>
      <c r="N551" s="201"/>
      <c r="O551" s="201"/>
      <c r="S551" s="201"/>
      <c r="T551" s="201"/>
      <c r="AB551" s="201"/>
      <c r="AC551" s="201"/>
      <c r="AD551" s="201"/>
      <c r="AE551" s="201"/>
      <c r="AF551" s="201"/>
      <c r="AG551" s="201"/>
      <c r="AH551" s="201"/>
      <c r="AI551" s="201"/>
      <c r="AJ551" s="201"/>
      <c r="AN551" s="201"/>
      <c r="AP551" s="201"/>
      <c r="AT551" s="201"/>
      <c r="AU551" s="201"/>
    </row>
    <row r="552" ht="15.75" customHeight="1">
      <c r="A552" s="200"/>
      <c r="B552" s="201"/>
      <c r="C552" s="201"/>
      <c r="D552" s="201"/>
      <c r="E552" s="201"/>
      <c r="F552" s="201"/>
      <c r="I552" s="201"/>
      <c r="N552" s="201"/>
      <c r="O552" s="201"/>
      <c r="S552" s="201"/>
      <c r="T552" s="201"/>
      <c r="AB552" s="201"/>
      <c r="AC552" s="201"/>
      <c r="AD552" s="201"/>
      <c r="AE552" s="201"/>
      <c r="AF552" s="201"/>
      <c r="AG552" s="201"/>
      <c r="AH552" s="201"/>
      <c r="AI552" s="201"/>
      <c r="AJ552" s="201"/>
      <c r="AN552" s="201"/>
      <c r="AP552" s="201"/>
      <c r="AT552" s="201"/>
      <c r="AU552" s="201"/>
    </row>
    <row r="553" ht="15.75" customHeight="1">
      <c r="A553" s="200"/>
      <c r="B553" s="201"/>
      <c r="C553" s="201"/>
      <c r="D553" s="201"/>
      <c r="E553" s="201"/>
      <c r="F553" s="201"/>
      <c r="I553" s="201"/>
      <c r="N553" s="201"/>
      <c r="O553" s="201"/>
      <c r="S553" s="201"/>
      <c r="T553" s="201"/>
      <c r="AB553" s="201"/>
      <c r="AC553" s="201"/>
      <c r="AD553" s="201"/>
      <c r="AE553" s="201"/>
      <c r="AF553" s="201"/>
      <c r="AG553" s="201"/>
      <c r="AH553" s="201"/>
      <c r="AI553" s="201"/>
      <c r="AJ553" s="201"/>
      <c r="AN553" s="201"/>
      <c r="AP553" s="201"/>
      <c r="AT553" s="201"/>
      <c r="AU553" s="201"/>
    </row>
    <row r="554" ht="15.75" customHeight="1">
      <c r="A554" s="200"/>
      <c r="B554" s="201"/>
      <c r="C554" s="201"/>
      <c r="D554" s="201"/>
      <c r="E554" s="201"/>
      <c r="F554" s="201"/>
      <c r="I554" s="201"/>
      <c r="N554" s="201"/>
      <c r="O554" s="201"/>
      <c r="S554" s="201"/>
      <c r="T554" s="201"/>
      <c r="AB554" s="201"/>
      <c r="AC554" s="201"/>
      <c r="AD554" s="201"/>
      <c r="AE554" s="201"/>
      <c r="AF554" s="201"/>
      <c r="AG554" s="201"/>
      <c r="AH554" s="201"/>
      <c r="AI554" s="201"/>
      <c r="AJ554" s="201"/>
      <c r="AN554" s="201"/>
      <c r="AP554" s="201"/>
      <c r="AT554" s="201"/>
      <c r="AU554" s="201"/>
    </row>
    <row r="555" ht="15.75" customHeight="1">
      <c r="A555" s="200"/>
      <c r="B555" s="201"/>
      <c r="C555" s="201"/>
      <c r="D555" s="201"/>
      <c r="E555" s="201"/>
      <c r="F555" s="201"/>
      <c r="I555" s="201"/>
      <c r="N555" s="201"/>
      <c r="O555" s="201"/>
      <c r="S555" s="201"/>
      <c r="T555" s="201"/>
      <c r="AB555" s="201"/>
      <c r="AC555" s="201"/>
      <c r="AD555" s="201"/>
      <c r="AE555" s="201"/>
      <c r="AF555" s="201"/>
      <c r="AG555" s="201"/>
      <c r="AH555" s="201"/>
      <c r="AI555" s="201"/>
      <c r="AJ555" s="201"/>
      <c r="AN555" s="201"/>
      <c r="AP555" s="201"/>
      <c r="AT555" s="201"/>
      <c r="AU555" s="201"/>
    </row>
    <row r="556" ht="15.75" customHeight="1">
      <c r="A556" s="200"/>
      <c r="B556" s="201"/>
      <c r="C556" s="201"/>
      <c r="D556" s="201"/>
      <c r="E556" s="201"/>
      <c r="F556" s="201"/>
      <c r="I556" s="201"/>
      <c r="N556" s="201"/>
      <c r="O556" s="201"/>
      <c r="S556" s="201"/>
      <c r="T556" s="201"/>
      <c r="AB556" s="201"/>
      <c r="AC556" s="201"/>
      <c r="AD556" s="201"/>
      <c r="AE556" s="201"/>
      <c r="AF556" s="201"/>
      <c r="AG556" s="201"/>
      <c r="AH556" s="201"/>
      <c r="AI556" s="201"/>
      <c r="AJ556" s="201"/>
      <c r="AN556" s="201"/>
      <c r="AP556" s="201"/>
      <c r="AT556" s="201"/>
      <c r="AU556" s="201"/>
    </row>
    <row r="557" ht="15.75" customHeight="1">
      <c r="A557" s="200"/>
      <c r="B557" s="201"/>
      <c r="C557" s="201"/>
      <c r="D557" s="201"/>
      <c r="E557" s="201"/>
      <c r="F557" s="201"/>
      <c r="I557" s="201"/>
      <c r="N557" s="201"/>
      <c r="O557" s="201"/>
      <c r="S557" s="201"/>
      <c r="T557" s="201"/>
      <c r="AB557" s="201"/>
      <c r="AC557" s="201"/>
      <c r="AD557" s="201"/>
      <c r="AE557" s="201"/>
      <c r="AF557" s="201"/>
      <c r="AG557" s="201"/>
      <c r="AH557" s="201"/>
      <c r="AI557" s="201"/>
      <c r="AJ557" s="201"/>
      <c r="AN557" s="201"/>
      <c r="AP557" s="201"/>
      <c r="AT557" s="201"/>
      <c r="AU557" s="201"/>
    </row>
    <row r="558" ht="15.75" customHeight="1">
      <c r="A558" s="200"/>
      <c r="B558" s="201"/>
      <c r="C558" s="201"/>
      <c r="D558" s="201"/>
      <c r="E558" s="201"/>
      <c r="F558" s="201"/>
      <c r="I558" s="201"/>
      <c r="N558" s="201"/>
      <c r="O558" s="201"/>
      <c r="S558" s="201"/>
      <c r="T558" s="201"/>
      <c r="AB558" s="201"/>
      <c r="AC558" s="201"/>
      <c r="AD558" s="201"/>
      <c r="AE558" s="201"/>
      <c r="AF558" s="201"/>
      <c r="AG558" s="201"/>
      <c r="AH558" s="201"/>
      <c r="AI558" s="201"/>
      <c r="AJ558" s="201"/>
      <c r="AN558" s="201"/>
      <c r="AP558" s="201"/>
      <c r="AT558" s="201"/>
      <c r="AU558" s="201"/>
    </row>
    <row r="559" ht="15.75" customHeight="1">
      <c r="A559" s="200"/>
      <c r="B559" s="201"/>
      <c r="C559" s="201"/>
      <c r="D559" s="201"/>
      <c r="E559" s="201"/>
      <c r="F559" s="201"/>
      <c r="I559" s="201"/>
      <c r="N559" s="201"/>
      <c r="O559" s="201"/>
      <c r="S559" s="201"/>
      <c r="T559" s="201"/>
      <c r="AB559" s="201"/>
      <c r="AC559" s="201"/>
      <c r="AD559" s="201"/>
      <c r="AE559" s="201"/>
      <c r="AF559" s="201"/>
      <c r="AG559" s="201"/>
      <c r="AH559" s="201"/>
      <c r="AI559" s="201"/>
      <c r="AJ559" s="201"/>
      <c r="AN559" s="201"/>
      <c r="AP559" s="201"/>
      <c r="AT559" s="201"/>
      <c r="AU559" s="201"/>
    </row>
    <row r="560" ht="15.75" customHeight="1">
      <c r="A560" s="200"/>
      <c r="B560" s="201"/>
      <c r="C560" s="201"/>
      <c r="D560" s="201"/>
      <c r="E560" s="201"/>
      <c r="F560" s="201"/>
      <c r="I560" s="201"/>
      <c r="N560" s="201"/>
      <c r="O560" s="201"/>
      <c r="S560" s="201"/>
      <c r="T560" s="201"/>
      <c r="AB560" s="201"/>
      <c r="AC560" s="201"/>
      <c r="AD560" s="201"/>
      <c r="AE560" s="201"/>
      <c r="AF560" s="201"/>
      <c r="AG560" s="201"/>
      <c r="AH560" s="201"/>
      <c r="AI560" s="201"/>
      <c r="AJ560" s="201"/>
      <c r="AN560" s="201"/>
      <c r="AP560" s="201"/>
      <c r="AT560" s="201"/>
      <c r="AU560" s="201"/>
    </row>
    <row r="561" ht="15.75" customHeight="1">
      <c r="A561" s="200"/>
      <c r="B561" s="201"/>
      <c r="C561" s="201"/>
      <c r="D561" s="201"/>
      <c r="E561" s="201"/>
      <c r="F561" s="201"/>
      <c r="I561" s="201"/>
      <c r="N561" s="201"/>
      <c r="O561" s="201"/>
      <c r="S561" s="201"/>
      <c r="T561" s="201"/>
      <c r="AB561" s="201"/>
      <c r="AC561" s="201"/>
      <c r="AD561" s="201"/>
      <c r="AE561" s="201"/>
      <c r="AF561" s="201"/>
      <c r="AG561" s="201"/>
      <c r="AH561" s="201"/>
      <c r="AI561" s="201"/>
      <c r="AJ561" s="201"/>
      <c r="AN561" s="201"/>
      <c r="AP561" s="201"/>
      <c r="AT561" s="201"/>
      <c r="AU561" s="201"/>
    </row>
    <row r="562" ht="15.75" customHeight="1">
      <c r="A562" s="200"/>
      <c r="B562" s="201"/>
      <c r="C562" s="201"/>
      <c r="D562" s="201"/>
      <c r="E562" s="201"/>
      <c r="F562" s="201"/>
      <c r="I562" s="201"/>
      <c r="N562" s="201"/>
      <c r="O562" s="201"/>
      <c r="S562" s="201"/>
      <c r="T562" s="201"/>
      <c r="AB562" s="201"/>
      <c r="AC562" s="201"/>
      <c r="AD562" s="201"/>
      <c r="AE562" s="201"/>
      <c r="AF562" s="201"/>
      <c r="AG562" s="201"/>
      <c r="AH562" s="201"/>
      <c r="AI562" s="201"/>
      <c r="AJ562" s="201"/>
      <c r="AN562" s="201"/>
      <c r="AP562" s="201"/>
      <c r="AT562" s="201"/>
      <c r="AU562" s="201"/>
    </row>
    <row r="563" ht="15.75" customHeight="1">
      <c r="A563" s="200"/>
      <c r="B563" s="201"/>
      <c r="C563" s="201"/>
      <c r="D563" s="201"/>
      <c r="E563" s="201"/>
      <c r="F563" s="201"/>
      <c r="I563" s="201"/>
      <c r="N563" s="201"/>
      <c r="O563" s="201"/>
      <c r="S563" s="201"/>
      <c r="T563" s="201"/>
      <c r="AB563" s="201"/>
      <c r="AC563" s="201"/>
      <c r="AD563" s="201"/>
      <c r="AE563" s="201"/>
      <c r="AF563" s="201"/>
      <c r="AG563" s="201"/>
      <c r="AH563" s="201"/>
      <c r="AI563" s="201"/>
      <c r="AJ563" s="201"/>
      <c r="AN563" s="201"/>
      <c r="AP563" s="201"/>
      <c r="AT563" s="201"/>
      <c r="AU563" s="201"/>
    </row>
    <row r="564" ht="15.75" customHeight="1">
      <c r="A564" s="200"/>
      <c r="B564" s="201"/>
      <c r="C564" s="201"/>
      <c r="D564" s="201"/>
      <c r="E564" s="201"/>
      <c r="F564" s="201"/>
      <c r="I564" s="201"/>
      <c r="N564" s="201"/>
      <c r="O564" s="201"/>
      <c r="S564" s="201"/>
      <c r="T564" s="201"/>
      <c r="AB564" s="201"/>
      <c r="AC564" s="201"/>
      <c r="AD564" s="201"/>
      <c r="AE564" s="201"/>
      <c r="AF564" s="201"/>
      <c r="AG564" s="201"/>
      <c r="AH564" s="201"/>
      <c r="AI564" s="201"/>
      <c r="AJ564" s="201"/>
      <c r="AN564" s="201"/>
      <c r="AP564" s="201"/>
      <c r="AT564" s="201"/>
      <c r="AU564" s="201"/>
    </row>
    <row r="565" ht="15.75" customHeight="1">
      <c r="A565" s="200"/>
      <c r="B565" s="201"/>
      <c r="C565" s="201"/>
      <c r="D565" s="201"/>
      <c r="E565" s="201"/>
      <c r="F565" s="201"/>
      <c r="I565" s="201"/>
      <c r="N565" s="201"/>
      <c r="O565" s="201"/>
      <c r="S565" s="201"/>
      <c r="T565" s="201"/>
      <c r="AB565" s="201"/>
      <c r="AC565" s="201"/>
      <c r="AD565" s="201"/>
      <c r="AE565" s="201"/>
      <c r="AF565" s="201"/>
      <c r="AG565" s="201"/>
      <c r="AH565" s="201"/>
      <c r="AI565" s="201"/>
      <c r="AJ565" s="201"/>
      <c r="AN565" s="201"/>
      <c r="AP565" s="201"/>
      <c r="AT565" s="201"/>
      <c r="AU565" s="201"/>
    </row>
    <row r="566" ht="15.75" customHeight="1">
      <c r="A566" s="200"/>
      <c r="B566" s="201"/>
      <c r="C566" s="201"/>
      <c r="D566" s="201"/>
      <c r="E566" s="201"/>
      <c r="F566" s="201"/>
      <c r="I566" s="201"/>
      <c r="N566" s="201"/>
      <c r="O566" s="201"/>
      <c r="S566" s="201"/>
      <c r="T566" s="201"/>
      <c r="AB566" s="201"/>
      <c r="AC566" s="201"/>
      <c r="AD566" s="201"/>
      <c r="AE566" s="201"/>
      <c r="AF566" s="201"/>
      <c r="AG566" s="201"/>
      <c r="AH566" s="201"/>
      <c r="AI566" s="201"/>
      <c r="AJ566" s="201"/>
      <c r="AN566" s="201"/>
      <c r="AP566" s="201"/>
      <c r="AT566" s="201"/>
      <c r="AU566" s="201"/>
    </row>
    <row r="567" ht="15.75" customHeight="1">
      <c r="A567" s="200"/>
      <c r="B567" s="201"/>
      <c r="C567" s="201"/>
      <c r="D567" s="201"/>
      <c r="E567" s="201"/>
      <c r="F567" s="201"/>
      <c r="I567" s="201"/>
      <c r="N567" s="201"/>
      <c r="O567" s="201"/>
      <c r="S567" s="201"/>
      <c r="T567" s="201"/>
      <c r="AB567" s="201"/>
      <c r="AC567" s="201"/>
      <c r="AD567" s="201"/>
      <c r="AE567" s="201"/>
      <c r="AF567" s="201"/>
      <c r="AG567" s="201"/>
      <c r="AH567" s="201"/>
      <c r="AI567" s="201"/>
      <c r="AJ567" s="201"/>
      <c r="AN567" s="201"/>
      <c r="AP567" s="201"/>
      <c r="AT567" s="201"/>
      <c r="AU567" s="201"/>
    </row>
    <row r="568" ht="15.75" customHeight="1">
      <c r="A568" s="200"/>
      <c r="B568" s="201"/>
      <c r="C568" s="201"/>
      <c r="D568" s="201"/>
      <c r="E568" s="201"/>
      <c r="F568" s="201"/>
      <c r="I568" s="201"/>
      <c r="N568" s="201"/>
      <c r="O568" s="201"/>
      <c r="S568" s="201"/>
      <c r="T568" s="201"/>
      <c r="AB568" s="201"/>
      <c r="AC568" s="201"/>
      <c r="AD568" s="201"/>
      <c r="AE568" s="201"/>
      <c r="AF568" s="201"/>
      <c r="AG568" s="201"/>
      <c r="AH568" s="201"/>
      <c r="AI568" s="201"/>
      <c r="AJ568" s="201"/>
      <c r="AN568" s="201"/>
      <c r="AP568" s="201"/>
      <c r="AT568" s="201"/>
      <c r="AU568" s="201"/>
    </row>
    <row r="569" ht="15.75" customHeight="1">
      <c r="A569" s="200"/>
      <c r="B569" s="201"/>
      <c r="C569" s="201"/>
      <c r="D569" s="201"/>
      <c r="E569" s="201"/>
      <c r="F569" s="201"/>
      <c r="I569" s="201"/>
      <c r="N569" s="201"/>
      <c r="O569" s="201"/>
      <c r="S569" s="201"/>
      <c r="T569" s="201"/>
      <c r="AB569" s="201"/>
      <c r="AC569" s="201"/>
      <c r="AD569" s="201"/>
      <c r="AE569" s="201"/>
      <c r="AF569" s="201"/>
      <c r="AG569" s="201"/>
      <c r="AH569" s="201"/>
      <c r="AI569" s="201"/>
      <c r="AJ569" s="201"/>
      <c r="AN569" s="201"/>
      <c r="AP569" s="201"/>
      <c r="AT569" s="201"/>
      <c r="AU569" s="201"/>
    </row>
    <row r="570" ht="15.75" customHeight="1">
      <c r="A570" s="200"/>
      <c r="B570" s="201"/>
      <c r="C570" s="201"/>
      <c r="D570" s="201"/>
      <c r="E570" s="201"/>
      <c r="F570" s="201"/>
      <c r="I570" s="201"/>
      <c r="N570" s="201"/>
      <c r="O570" s="201"/>
      <c r="S570" s="201"/>
      <c r="T570" s="201"/>
      <c r="AB570" s="201"/>
      <c r="AC570" s="201"/>
      <c r="AD570" s="201"/>
      <c r="AE570" s="201"/>
      <c r="AF570" s="201"/>
      <c r="AG570" s="201"/>
      <c r="AH570" s="201"/>
      <c r="AI570" s="201"/>
      <c r="AJ570" s="201"/>
      <c r="AN570" s="201"/>
      <c r="AP570" s="201"/>
      <c r="AT570" s="201"/>
      <c r="AU570" s="201"/>
    </row>
    <row r="571" ht="15.75" customHeight="1">
      <c r="A571" s="200"/>
      <c r="B571" s="201"/>
      <c r="C571" s="201"/>
      <c r="D571" s="201"/>
      <c r="E571" s="201"/>
      <c r="F571" s="201"/>
      <c r="I571" s="201"/>
      <c r="N571" s="201"/>
      <c r="O571" s="201"/>
      <c r="S571" s="201"/>
      <c r="T571" s="201"/>
      <c r="AB571" s="201"/>
      <c r="AC571" s="201"/>
      <c r="AD571" s="201"/>
      <c r="AE571" s="201"/>
      <c r="AF571" s="201"/>
      <c r="AG571" s="201"/>
      <c r="AH571" s="201"/>
      <c r="AI571" s="201"/>
      <c r="AJ571" s="201"/>
      <c r="AN571" s="201"/>
      <c r="AP571" s="201"/>
      <c r="AT571" s="201"/>
      <c r="AU571" s="201"/>
    </row>
    <row r="572" ht="15.75" customHeight="1">
      <c r="A572" s="200"/>
      <c r="B572" s="201"/>
      <c r="C572" s="201"/>
      <c r="D572" s="201"/>
      <c r="E572" s="201"/>
      <c r="F572" s="201"/>
      <c r="I572" s="201"/>
      <c r="N572" s="201"/>
      <c r="O572" s="201"/>
      <c r="S572" s="201"/>
      <c r="T572" s="201"/>
      <c r="AB572" s="201"/>
      <c r="AC572" s="201"/>
      <c r="AD572" s="201"/>
      <c r="AE572" s="201"/>
      <c r="AF572" s="201"/>
      <c r="AG572" s="201"/>
      <c r="AH572" s="201"/>
      <c r="AI572" s="201"/>
      <c r="AJ572" s="201"/>
      <c r="AN572" s="201"/>
      <c r="AP572" s="201"/>
      <c r="AT572" s="201"/>
      <c r="AU572" s="201"/>
    </row>
    <row r="573" ht="15.75" customHeight="1">
      <c r="A573" s="200"/>
      <c r="B573" s="201"/>
      <c r="C573" s="201"/>
      <c r="D573" s="201"/>
      <c r="E573" s="201"/>
      <c r="F573" s="201"/>
      <c r="I573" s="201"/>
      <c r="N573" s="201"/>
      <c r="O573" s="201"/>
      <c r="S573" s="201"/>
      <c r="T573" s="201"/>
      <c r="AB573" s="201"/>
      <c r="AC573" s="201"/>
      <c r="AD573" s="201"/>
      <c r="AE573" s="201"/>
      <c r="AF573" s="201"/>
      <c r="AG573" s="201"/>
      <c r="AH573" s="201"/>
      <c r="AI573" s="201"/>
      <c r="AJ573" s="201"/>
      <c r="AN573" s="201"/>
      <c r="AP573" s="201"/>
      <c r="AT573" s="201"/>
      <c r="AU573" s="201"/>
    </row>
    <row r="574" ht="15.75" customHeight="1">
      <c r="A574" s="200"/>
      <c r="B574" s="201"/>
      <c r="C574" s="201"/>
      <c r="D574" s="201"/>
      <c r="E574" s="201"/>
      <c r="F574" s="201"/>
      <c r="I574" s="201"/>
      <c r="N574" s="201"/>
      <c r="O574" s="201"/>
      <c r="S574" s="201"/>
      <c r="T574" s="201"/>
      <c r="AB574" s="201"/>
      <c r="AC574" s="201"/>
      <c r="AD574" s="201"/>
      <c r="AE574" s="201"/>
      <c r="AF574" s="201"/>
      <c r="AG574" s="201"/>
      <c r="AH574" s="201"/>
      <c r="AI574" s="201"/>
      <c r="AJ574" s="201"/>
      <c r="AN574" s="201"/>
      <c r="AP574" s="201"/>
      <c r="AT574" s="201"/>
      <c r="AU574" s="201"/>
    </row>
    <row r="575" ht="15.75" customHeight="1">
      <c r="A575" s="200"/>
      <c r="B575" s="201"/>
      <c r="C575" s="201"/>
      <c r="D575" s="201"/>
      <c r="E575" s="201"/>
      <c r="F575" s="201"/>
      <c r="I575" s="201"/>
      <c r="N575" s="201"/>
      <c r="O575" s="201"/>
      <c r="S575" s="201"/>
      <c r="T575" s="201"/>
      <c r="AB575" s="201"/>
      <c r="AC575" s="201"/>
      <c r="AD575" s="201"/>
      <c r="AE575" s="201"/>
      <c r="AF575" s="201"/>
      <c r="AG575" s="201"/>
      <c r="AH575" s="201"/>
      <c r="AI575" s="201"/>
      <c r="AJ575" s="201"/>
      <c r="AN575" s="201"/>
      <c r="AP575" s="201"/>
      <c r="AT575" s="201"/>
      <c r="AU575" s="201"/>
    </row>
    <row r="576" ht="15.75" customHeight="1">
      <c r="A576" s="200"/>
      <c r="B576" s="201"/>
      <c r="C576" s="201"/>
      <c r="D576" s="201"/>
      <c r="E576" s="201"/>
      <c r="F576" s="201"/>
      <c r="I576" s="201"/>
      <c r="N576" s="201"/>
      <c r="O576" s="201"/>
      <c r="S576" s="201"/>
      <c r="T576" s="201"/>
      <c r="AB576" s="201"/>
      <c r="AC576" s="201"/>
      <c r="AD576" s="201"/>
      <c r="AE576" s="201"/>
      <c r="AF576" s="201"/>
      <c r="AG576" s="201"/>
      <c r="AH576" s="201"/>
      <c r="AI576" s="201"/>
      <c r="AJ576" s="201"/>
      <c r="AN576" s="201"/>
      <c r="AP576" s="201"/>
      <c r="AT576" s="201"/>
      <c r="AU576" s="201"/>
    </row>
    <row r="577" ht="15.75" customHeight="1">
      <c r="A577" s="200"/>
      <c r="B577" s="201"/>
      <c r="C577" s="201"/>
      <c r="D577" s="201"/>
      <c r="E577" s="201"/>
      <c r="F577" s="201"/>
      <c r="I577" s="201"/>
      <c r="N577" s="201"/>
      <c r="O577" s="201"/>
      <c r="S577" s="201"/>
      <c r="T577" s="201"/>
      <c r="AB577" s="201"/>
      <c r="AC577" s="201"/>
      <c r="AD577" s="201"/>
      <c r="AE577" s="201"/>
      <c r="AF577" s="201"/>
      <c r="AG577" s="201"/>
      <c r="AH577" s="201"/>
      <c r="AI577" s="201"/>
      <c r="AJ577" s="201"/>
      <c r="AN577" s="201"/>
      <c r="AP577" s="201"/>
      <c r="AT577" s="201"/>
      <c r="AU577" s="201"/>
    </row>
    <row r="578" ht="15.75" customHeight="1">
      <c r="A578" s="200"/>
      <c r="B578" s="201"/>
      <c r="C578" s="201"/>
      <c r="D578" s="201"/>
      <c r="E578" s="201"/>
      <c r="F578" s="201"/>
      <c r="I578" s="201"/>
      <c r="N578" s="201"/>
      <c r="O578" s="201"/>
      <c r="S578" s="201"/>
      <c r="T578" s="201"/>
      <c r="AB578" s="201"/>
      <c r="AC578" s="201"/>
      <c r="AD578" s="201"/>
      <c r="AE578" s="201"/>
      <c r="AF578" s="201"/>
      <c r="AG578" s="201"/>
      <c r="AH578" s="201"/>
      <c r="AI578" s="201"/>
      <c r="AJ578" s="201"/>
      <c r="AN578" s="201"/>
      <c r="AP578" s="201"/>
      <c r="AT578" s="201"/>
      <c r="AU578" s="201"/>
    </row>
    <row r="579" ht="15.75" customHeight="1">
      <c r="A579" s="200"/>
      <c r="B579" s="201"/>
      <c r="C579" s="201"/>
      <c r="D579" s="201"/>
      <c r="E579" s="201"/>
      <c r="F579" s="201"/>
      <c r="I579" s="201"/>
      <c r="N579" s="201"/>
      <c r="O579" s="201"/>
      <c r="S579" s="201"/>
      <c r="T579" s="201"/>
      <c r="AB579" s="201"/>
      <c r="AC579" s="201"/>
      <c r="AD579" s="201"/>
      <c r="AE579" s="201"/>
      <c r="AF579" s="201"/>
      <c r="AG579" s="201"/>
      <c r="AH579" s="201"/>
      <c r="AI579" s="201"/>
      <c r="AJ579" s="201"/>
      <c r="AN579" s="201"/>
      <c r="AP579" s="201"/>
      <c r="AT579" s="201"/>
      <c r="AU579" s="201"/>
    </row>
    <row r="580" ht="15.75" customHeight="1">
      <c r="A580" s="200"/>
      <c r="B580" s="201"/>
      <c r="C580" s="201"/>
      <c r="D580" s="201"/>
      <c r="E580" s="201"/>
      <c r="F580" s="201"/>
      <c r="I580" s="201"/>
      <c r="N580" s="201"/>
      <c r="O580" s="201"/>
      <c r="S580" s="201"/>
      <c r="T580" s="201"/>
      <c r="AB580" s="201"/>
      <c r="AC580" s="201"/>
      <c r="AD580" s="201"/>
      <c r="AE580" s="201"/>
      <c r="AF580" s="201"/>
      <c r="AG580" s="201"/>
      <c r="AH580" s="201"/>
      <c r="AI580" s="201"/>
      <c r="AJ580" s="201"/>
      <c r="AN580" s="201"/>
      <c r="AP580" s="201"/>
      <c r="AT580" s="201"/>
      <c r="AU580" s="201"/>
    </row>
    <row r="581" ht="15.75" customHeight="1">
      <c r="A581" s="200"/>
      <c r="B581" s="201"/>
      <c r="C581" s="201"/>
      <c r="D581" s="201"/>
      <c r="E581" s="201"/>
      <c r="F581" s="201"/>
      <c r="I581" s="201"/>
      <c r="N581" s="201"/>
      <c r="O581" s="201"/>
      <c r="S581" s="201"/>
      <c r="T581" s="201"/>
      <c r="AB581" s="201"/>
      <c r="AC581" s="201"/>
      <c r="AD581" s="201"/>
      <c r="AE581" s="201"/>
      <c r="AF581" s="201"/>
      <c r="AG581" s="201"/>
      <c r="AH581" s="201"/>
      <c r="AI581" s="201"/>
      <c r="AJ581" s="201"/>
      <c r="AN581" s="201"/>
      <c r="AP581" s="201"/>
      <c r="AT581" s="201"/>
      <c r="AU581" s="201"/>
    </row>
    <row r="582" ht="15.75" customHeight="1">
      <c r="A582" s="200"/>
      <c r="B582" s="201"/>
      <c r="C582" s="201"/>
      <c r="D582" s="201"/>
      <c r="E582" s="201"/>
      <c r="F582" s="201"/>
      <c r="I582" s="201"/>
      <c r="N582" s="201"/>
      <c r="O582" s="201"/>
      <c r="S582" s="201"/>
      <c r="T582" s="201"/>
      <c r="AB582" s="201"/>
      <c r="AC582" s="201"/>
      <c r="AD582" s="201"/>
      <c r="AE582" s="201"/>
      <c r="AF582" s="201"/>
      <c r="AG582" s="201"/>
      <c r="AH582" s="201"/>
      <c r="AI582" s="201"/>
      <c r="AJ582" s="201"/>
      <c r="AN582" s="201"/>
      <c r="AP582" s="201"/>
      <c r="AT582" s="201"/>
      <c r="AU582" s="201"/>
    </row>
    <row r="583" ht="15.75" customHeight="1">
      <c r="A583" s="200"/>
      <c r="B583" s="201"/>
      <c r="C583" s="201"/>
      <c r="D583" s="201"/>
      <c r="E583" s="201"/>
      <c r="F583" s="201"/>
      <c r="I583" s="201"/>
      <c r="N583" s="201"/>
      <c r="O583" s="201"/>
      <c r="S583" s="201"/>
      <c r="T583" s="201"/>
      <c r="AB583" s="201"/>
      <c r="AC583" s="201"/>
      <c r="AD583" s="201"/>
      <c r="AE583" s="201"/>
      <c r="AF583" s="201"/>
      <c r="AG583" s="201"/>
      <c r="AH583" s="201"/>
      <c r="AI583" s="201"/>
      <c r="AJ583" s="201"/>
      <c r="AN583" s="201"/>
      <c r="AP583" s="201"/>
      <c r="AT583" s="201"/>
      <c r="AU583" s="201"/>
    </row>
    <row r="584" ht="15.75" customHeight="1">
      <c r="A584" s="200"/>
      <c r="B584" s="201"/>
      <c r="C584" s="201"/>
      <c r="D584" s="201"/>
      <c r="E584" s="201"/>
      <c r="F584" s="201"/>
      <c r="I584" s="201"/>
      <c r="N584" s="201"/>
      <c r="O584" s="201"/>
      <c r="S584" s="201"/>
      <c r="T584" s="201"/>
      <c r="AB584" s="201"/>
      <c r="AC584" s="201"/>
      <c r="AD584" s="201"/>
      <c r="AE584" s="201"/>
      <c r="AF584" s="201"/>
      <c r="AG584" s="201"/>
      <c r="AH584" s="201"/>
      <c r="AI584" s="201"/>
      <c r="AJ584" s="201"/>
      <c r="AN584" s="201"/>
      <c r="AP584" s="201"/>
      <c r="AT584" s="201"/>
      <c r="AU584" s="201"/>
    </row>
    <row r="585" ht="15.75" customHeight="1">
      <c r="A585" s="200"/>
      <c r="B585" s="201"/>
      <c r="C585" s="201"/>
      <c r="D585" s="201"/>
      <c r="E585" s="201"/>
      <c r="F585" s="201"/>
      <c r="I585" s="201"/>
      <c r="N585" s="201"/>
      <c r="O585" s="201"/>
      <c r="S585" s="201"/>
      <c r="T585" s="201"/>
      <c r="AB585" s="201"/>
      <c r="AC585" s="201"/>
      <c r="AD585" s="201"/>
      <c r="AE585" s="201"/>
      <c r="AF585" s="201"/>
      <c r="AG585" s="201"/>
      <c r="AH585" s="201"/>
      <c r="AI585" s="201"/>
      <c r="AJ585" s="201"/>
      <c r="AN585" s="201"/>
      <c r="AP585" s="201"/>
      <c r="AT585" s="201"/>
      <c r="AU585" s="201"/>
    </row>
    <row r="586" ht="15.75" customHeight="1">
      <c r="A586" s="200"/>
      <c r="B586" s="201"/>
      <c r="C586" s="201"/>
      <c r="D586" s="201"/>
      <c r="E586" s="201"/>
      <c r="F586" s="201"/>
      <c r="I586" s="201"/>
      <c r="N586" s="201"/>
      <c r="O586" s="201"/>
      <c r="S586" s="201"/>
      <c r="T586" s="201"/>
      <c r="AB586" s="201"/>
      <c r="AC586" s="201"/>
      <c r="AD586" s="201"/>
      <c r="AE586" s="201"/>
      <c r="AF586" s="201"/>
      <c r="AG586" s="201"/>
      <c r="AH586" s="201"/>
      <c r="AI586" s="201"/>
      <c r="AJ586" s="201"/>
      <c r="AN586" s="201"/>
      <c r="AP586" s="201"/>
      <c r="AT586" s="201"/>
      <c r="AU586" s="201"/>
    </row>
    <row r="587" ht="15.75" customHeight="1">
      <c r="A587" s="200"/>
      <c r="B587" s="201"/>
      <c r="C587" s="201"/>
      <c r="D587" s="201"/>
      <c r="E587" s="201"/>
      <c r="F587" s="201"/>
      <c r="I587" s="201"/>
      <c r="N587" s="201"/>
      <c r="O587" s="201"/>
      <c r="S587" s="201"/>
      <c r="T587" s="201"/>
      <c r="AB587" s="201"/>
      <c r="AC587" s="201"/>
      <c r="AD587" s="201"/>
      <c r="AE587" s="201"/>
      <c r="AF587" s="201"/>
      <c r="AG587" s="201"/>
      <c r="AH587" s="201"/>
      <c r="AI587" s="201"/>
      <c r="AJ587" s="201"/>
      <c r="AN587" s="201"/>
      <c r="AP587" s="201"/>
      <c r="AT587" s="201"/>
      <c r="AU587" s="201"/>
    </row>
    <row r="588" ht="15.75" customHeight="1">
      <c r="A588" s="200"/>
      <c r="B588" s="201"/>
      <c r="C588" s="201"/>
      <c r="D588" s="201"/>
      <c r="E588" s="201"/>
      <c r="F588" s="201"/>
      <c r="I588" s="201"/>
      <c r="N588" s="201"/>
      <c r="O588" s="201"/>
      <c r="S588" s="201"/>
      <c r="T588" s="201"/>
      <c r="AB588" s="201"/>
      <c r="AC588" s="201"/>
      <c r="AD588" s="201"/>
      <c r="AE588" s="201"/>
      <c r="AF588" s="201"/>
      <c r="AG588" s="201"/>
      <c r="AH588" s="201"/>
      <c r="AI588" s="201"/>
      <c r="AJ588" s="201"/>
      <c r="AN588" s="201"/>
      <c r="AP588" s="201"/>
      <c r="AT588" s="201"/>
      <c r="AU588" s="201"/>
    </row>
    <row r="589" ht="15.75" customHeight="1">
      <c r="A589" s="200"/>
      <c r="B589" s="201"/>
      <c r="C589" s="201"/>
      <c r="D589" s="201"/>
      <c r="E589" s="201"/>
      <c r="F589" s="201"/>
      <c r="I589" s="201"/>
      <c r="N589" s="201"/>
      <c r="O589" s="201"/>
      <c r="S589" s="201"/>
      <c r="T589" s="201"/>
      <c r="AB589" s="201"/>
      <c r="AC589" s="201"/>
      <c r="AD589" s="201"/>
      <c r="AE589" s="201"/>
      <c r="AF589" s="201"/>
      <c r="AG589" s="201"/>
      <c r="AH589" s="201"/>
      <c r="AI589" s="201"/>
      <c r="AJ589" s="201"/>
      <c r="AN589" s="201"/>
      <c r="AP589" s="201"/>
      <c r="AT589" s="201"/>
      <c r="AU589" s="201"/>
    </row>
    <row r="590" ht="15.75" customHeight="1">
      <c r="A590" s="200"/>
      <c r="B590" s="201"/>
      <c r="C590" s="201"/>
      <c r="D590" s="201"/>
      <c r="E590" s="201"/>
      <c r="F590" s="201"/>
      <c r="I590" s="201"/>
      <c r="N590" s="201"/>
      <c r="O590" s="201"/>
      <c r="S590" s="201"/>
      <c r="T590" s="201"/>
      <c r="AB590" s="201"/>
      <c r="AC590" s="201"/>
      <c r="AD590" s="201"/>
      <c r="AE590" s="201"/>
      <c r="AF590" s="201"/>
      <c r="AG590" s="201"/>
      <c r="AH590" s="201"/>
      <c r="AI590" s="201"/>
      <c r="AJ590" s="201"/>
      <c r="AN590" s="201"/>
      <c r="AP590" s="201"/>
      <c r="AT590" s="201"/>
      <c r="AU590" s="201"/>
    </row>
    <row r="591" ht="15.75" customHeight="1">
      <c r="A591" s="200"/>
      <c r="B591" s="201"/>
      <c r="C591" s="201"/>
      <c r="D591" s="201"/>
      <c r="E591" s="201"/>
      <c r="F591" s="201"/>
      <c r="I591" s="201"/>
      <c r="N591" s="201"/>
      <c r="O591" s="201"/>
      <c r="S591" s="201"/>
      <c r="T591" s="201"/>
      <c r="AB591" s="201"/>
      <c r="AC591" s="201"/>
      <c r="AD591" s="201"/>
      <c r="AE591" s="201"/>
      <c r="AF591" s="201"/>
      <c r="AG591" s="201"/>
      <c r="AH591" s="201"/>
      <c r="AI591" s="201"/>
      <c r="AJ591" s="201"/>
      <c r="AN591" s="201"/>
      <c r="AP591" s="201"/>
      <c r="AT591" s="201"/>
      <c r="AU591" s="201"/>
    </row>
    <row r="592" ht="15.75" customHeight="1">
      <c r="A592" s="200"/>
      <c r="B592" s="201"/>
      <c r="C592" s="201"/>
      <c r="D592" s="201"/>
      <c r="E592" s="201"/>
      <c r="F592" s="201"/>
      <c r="I592" s="201"/>
      <c r="N592" s="201"/>
      <c r="O592" s="201"/>
      <c r="S592" s="201"/>
      <c r="T592" s="201"/>
      <c r="AB592" s="201"/>
      <c r="AC592" s="201"/>
      <c r="AD592" s="201"/>
      <c r="AE592" s="201"/>
      <c r="AF592" s="201"/>
      <c r="AG592" s="201"/>
      <c r="AH592" s="201"/>
      <c r="AI592" s="201"/>
      <c r="AJ592" s="201"/>
      <c r="AN592" s="201"/>
      <c r="AP592" s="201"/>
      <c r="AT592" s="201"/>
      <c r="AU592" s="201"/>
    </row>
    <row r="593" ht="15.75" customHeight="1">
      <c r="A593" s="200"/>
      <c r="B593" s="201"/>
      <c r="C593" s="201"/>
      <c r="D593" s="201"/>
      <c r="E593" s="201"/>
      <c r="F593" s="201"/>
      <c r="I593" s="201"/>
      <c r="N593" s="201"/>
      <c r="O593" s="201"/>
      <c r="S593" s="201"/>
      <c r="T593" s="201"/>
      <c r="AB593" s="201"/>
      <c r="AC593" s="201"/>
      <c r="AD593" s="201"/>
      <c r="AE593" s="201"/>
      <c r="AF593" s="201"/>
      <c r="AG593" s="201"/>
      <c r="AH593" s="201"/>
      <c r="AI593" s="201"/>
      <c r="AJ593" s="201"/>
      <c r="AN593" s="201"/>
      <c r="AP593" s="201"/>
      <c r="AT593" s="201"/>
      <c r="AU593" s="201"/>
    </row>
    <row r="594" ht="15.75" customHeight="1">
      <c r="A594" s="200"/>
      <c r="B594" s="201"/>
      <c r="C594" s="201"/>
      <c r="D594" s="201"/>
      <c r="E594" s="201"/>
      <c r="F594" s="201"/>
      <c r="I594" s="201"/>
      <c r="N594" s="201"/>
      <c r="O594" s="201"/>
      <c r="S594" s="201"/>
      <c r="T594" s="201"/>
      <c r="AB594" s="201"/>
      <c r="AC594" s="201"/>
      <c r="AD594" s="201"/>
      <c r="AE594" s="201"/>
      <c r="AF594" s="201"/>
      <c r="AG594" s="201"/>
      <c r="AH594" s="201"/>
      <c r="AI594" s="201"/>
      <c r="AJ594" s="201"/>
      <c r="AN594" s="201"/>
      <c r="AP594" s="201"/>
      <c r="AT594" s="201"/>
      <c r="AU594" s="201"/>
    </row>
    <row r="595" ht="15.75" customHeight="1">
      <c r="A595" s="200"/>
      <c r="B595" s="201"/>
      <c r="C595" s="201"/>
      <c r="D595" s="201"/>
      <c r="E595" s="201"/>
      <c r="F595" s="201"/>
      <c r="I595" s="201"/>
      <c r="N595" s="201"/>
      <c r="O595" s="201"/>
      <c r="S595" s="201"/>
      <c r="T595" s="201"/>
      <c r="AB595" s="201"/>
      <c r="AC595" s="201"/>
      <c r="AD595" s="201"/>
      <c r="AE595" s="201"/>
      <c r="AF595" s="201"/>
      <c r="AG595" s="201"/>
      <c r="AH595" s="201"/>
      <c r="AI595" s="201"/>
      <c r="AJ595" s="201"/>
      <c r="AN595" s="201"/>
      <c r="AP595" s="201"/>
      <c r="AT595" s="201"/>
      <c r="AU595" s="201"/>
    </row>
    <row r="596" ht="15.75" customHeight="1">
      <c r="A596" s="200"/>
      <c r="B596" s="201"/>
      <c r="C596" s="201"/>
      <c r="D596" s="201"/>
      <c r="E596" s="201"/>
      <c r="F596" s="201"/>
      <c r="I596" s="201"/>
      <c r="N596" s="201"/>
      <c r="O596" s="201"/>
      <c r="S596" s="201"/>
      <c r="T596" s="201"/>
      <c r="AB596" s="201"/>
      <c r="AC596" s="201"/>
      <c r="AD596" s="201"/>
      <c r="AE596" s="201"/>
      <c r="AF596" s="201"/>
      <c r="AG596" s="201"/>
      <c r="AH596" s="201"/>
      <c r="AI596" s="201"/>
      <c r="AJ596" s="201"/>
      <c r="AN596" s="201"/>
      <c r="AP596" s="201"/>
      <c r="AT596" s="201"/>
      <c r="AU596" s="201"/>
    </row>
    <row r="597" ht="15.75" customHeight="1">
      <c r="A597" s="200"/>
      <c r="B597" s="201"/>
      <c r="C597" s="201"/>
      <c r="D597" s="201"/>
      <c r="E597" s="201"/>
      <c r="F597" s="201"/>
      <c r="I597" s="201"/>
      <c r="N597" s="201"/>
      <c r="O597" s="201"/>
      <c r="S597" s="201"/>
      <c r="T597" s="201"/>
      <c r="AB597" s="201"/>
      <c r="AC597" s="201"/>
      <c r="AD597" s="201"/>
      <c r="AE597" s="201"/>
      <c r="AF597" s="201"/>
      <c r="AG597" s="201"/>
      <c r="AH597" s="201"/>
      <c r="AI597" s="201"/>
      <c r="AJ597" s="201"/>
      <c r="AN597" s="201"/>
      <c r="AP597" s="201"/>
      <c r="AT597" s="201"/>
      <c r="AU597" s="201"/>
    </row>
    <row r="598" ht="15.75" customHeight="1">
      <c r="A598" s="200"/>
      <c r="B598" s="201"/>
      <c r="C598" s="201"/>
      <c r="D598" s="201"/>
      <c r="E598" s="201"/>
      <c r="F598" s="201"/>
      <c r="I598" s="201"/>
      <c r="N598" s="201"/>
      <c r="O598" s="201"/>
      <c r="S598" s="201"/>
      <c r="T598" s="201"/>
      <c r="AB598" s="201"/>
      <c r="AC598" s="201"/>
      <c r="AD598" s="201"/>
      <c r="AE598" s="201"/>
      <c r="AF598" s="201"/>
      <c r="AG598" s="201"/>
      <c r="AH598" s="201"/>
      <c r="AI598" s="201"/>
      <c r="AJ598" s="201"/>
      <c r="AN598" s="201"/>
      <c r="AP598" s="201"/>
      <c r="AT598" s="201"/>
      <c r="AU598" s="201"/>
    </row>
    <row r="599" ht="15.75" customHeight="1">
      <c r="A599" s="200"/>
      <c r="B599" s="201"/>
      <c r="C599" s="201"/>
      <c r="D599" s="201"/>
      <c r="E599" s="201"/>
      <c r="F599" s="201"/>
      <c r="I599" s="201"/>
      <c r="N599" s="201"/>
      <c r="O599" s="201"/>
      <c r="S599" s="201"/>
      <c r="T599" s="201"/>
      <c r="AB599" s="201"/>
      <c r="AC599" s="201"/>
      <c r="AD599" s="201"/>
      <c r="AE599" s="201"/>
      <c r="AF599" s="201"/>
      <c r="AG599" s="201"/>
      <c r="AH599" s="201"/>
      <c r="AI599" s="201"/>
      <c r="AJ599" s="201"/>
      <c r="AN599" s="201"/>
      <c r="AP599" s="201"/>
      <c r="AT599" s="201"/>
      <c r="AU599" s="201"/>
    </row>
    <row r="600" ht="15.75" customHeight="1">
      <c r="A600" s="200"/>
      <c r="B600" s="201"/>
      <c r="C600" s="201"/>
      <c r="D600" s="201"/>
      <c r="E600" s="201"/>
      <c r="F600" s="201"/>
      <c r="I600" s="201"/>
      <c r="N600" s="201"/>
      <c r="O600" s="201"/>
      <c r="S600" s="201"/>
      <c r="T600" s="201"/>
      <c r="AB600" s="201"/>
      <c r="AC600" s="201"/>
      <c r="AD600" s="201"/>
      <c r="AE600" s="201"/>
      <c r="AF600" s="201"/>
      <c r="AG600" s="201"/>
      <c r="AH600" s="201"/>
      <c r="AI600" s="201"/>
      <c r="AJ600" s="201"/>
      <c r="AN600" s="201"/>
      <c r="AP600" s="201"/>
      <c r="AT600" s="201"/>
      <c r="AU600" s="201"/>
    </row>
    <row r="601" ht="15.75" customHeight="1">
      <c r="A601" s="200"/>
      <c r="B601" s="201"/>
      <c r="C601" s="201"/>
      <c r="D601" s="201"/>
      <c r="E601" s="201"/>
      <c r="F601" s="201"/>
      <c r="I601" s="201"/>
      <c r="N601" s="201"/>
      <c r="O601" s="201"/>
      <c r="S601" s="201"/>
      <c r="T601" s="201"/>
      <c r="AB601" s="201"/>
      <c r="AC601" s="201"/>
      <c r="AD601" s="201"/>
      <c r="AE601" s="201"/>
      <c r="AF601" s="201"/>
      <c r="AG601" s="201"/>
      <c r="AH601" s="201"/>
      <c r="AI601" s="201"/>
      <c r="AJ601" s="201"/>
      <c r="AN601" s="201"/>
      <c r="AP601" s="201"/>
      <c r="AT601" s="201"/>
      <c r="AU601" s="201"/>
    </row>
    <row r="602" ht="15.75" customHeight="1">
      <c r="A602" s="200"/>
      <c r="B602" s="201"/>
      <c r="C602" s="201"/>
      <c r="D602" s="201"/>
      <c r="E602" s="201"/>
      <c r="F602" s="201"/>
      <c r="I602" s="201"/>
      <c r="N602" s="201"/>
      <c r="O602" s="201"/>
      <c r="S602" s="201"/>
      <c r="T602" s="201"/>
      <c r="AB602" s="201"/>
      <c r="AC602" s="201"/>
      <c r="AD602" s="201"/>
      <c r="AE602" s="201"/>
      <c r="AF602" s="201"/>
      <c r="AG602" s="201"/>
      <c r="AH602" s="201"/>
      <c r="AI602" s="201"/>
      <c r="AJ602" s="201"/>
      <c r="AN602" s="201"/>
      <c r="AP602" s="201"/>
      <c r="AT602" s="201"/>
      <c r="AU602" s="201"/>
    </row>
    <row r="603" ht="15.75" customHeight="1">
      <c r="A603" s="200"/>
      <c r="B603" s="201"/>
      <c r="C603" s="201"/>
      <c r="D603" s="201"/>
      <c r="E603" s="201"/>
      <c r="F603" s="201"/>
      <c r="I603" s="201"/>
      <c r="N603" s="201"/>
      <c r="O603" s="201"/>
      <c r="S603" s="201"/>
      <c r="T603" s="201"/>
      <c r="AB603" s="201"/>
      <c r="AC603" s="201"/>
      <c r="AD603" s="201"/>
      <c r="AE603" s="201"/>
      <c r="AF603" s="201"/>
      <c r="AG603" s="201"/>
      <c r="AH603" s="201"/>
      <c r="AI603" s="201"/>
      <c r="AJ603" s="201"/>
      <c r="AN603" s="201"/>
      <c r="AP603" s="201"/>
      <c r="AT603" s="201"/>
      <c r="AU603" s="201"/>
    </row>
    <row r="604" ht="15.75" customHeight="1">
      <c r="A604" s="200"/>
      <c r="B604" s="201"/>
      <c r="C604" s="201"/>
      <c r="D604" s="201"/>
      <c r="E604" s="201"/>
      <c r="F604" s="201"/>
      <c r="I604" s="201"/>
      <c r="N604" s="201"/>
      <c r="O604" s="201"/>
      <c r="S604" s="201"/>
      <c r="T604" s="201"/>
      <c r="AB604" s="201"/>
      <c r="AC604" s="201"/>
      <c r="AD604" s="201"/>
      <c r="AE604" s="201"/>
      <c r="AF604" s="201"/>
      <c r="AG604" s="201"/>
      <c r="AH604" s="201"/>
      <c r="AI604" s="201"/>
      <c r="AJ604" s="201"/>
      <c r="AN604" s="201"/>
      <c r="AP604" s="201"/>
      <c r="AT604" s="201"/>
      <c r="AU604" s="201"/>
    </row>
    <row r="605" ht="15.75" customHeight="1">
      <c r="A605" s="200"/>
      <c r="B605" s="201"/>
      <c r="C605" s="201"/>
      <c r="D605" s="201"/>
      <c r="E605" s="201"/>
      <c r="F605" s="201"/>
      <c r="I605" s="201"/>
      <c r="N605" s="201"/>
      <c r="O605" s="201"/>
      <c r="S605" s="201"/>
      <c r="T605" s="201"/>
      <c r="AB605" s="201"/>
      <c r="AC605" s="201"/>
      <c r="AD605" s="201"/>
      <c r="AE605" s="201"/>
      <c r="AF605" s="201"/>
      <c r="AG605" s="201"/>
      <c r="AH605" s="201"/>
      <c r="AI605" s="201"/>
      <c r="AJ605" s="201"/>
      <c r="AN605" s="201"/>
      <c r="AP605" s="201"/>
      <c r="AT605" s="201"/>
      <c r="AU605" s="201"/>
    </row>
    <row r="606" ht="15.75" customHeight="1">
      <c r="A606" s="200"/>
      <c r="B606" s="201"/>
      <c r="C606" s="201"/>
      <c r="D606" s="201"/>
      <c r="E606" s="201"/>
      <c r="F606" s="201"/>
      <c r="I606" s="201"/>
      <c r="N606" s="201"/>
      <c r="O606" s="201"/>
      <c r="S606" s="201"/>
      <c r="T606" s="201"/>
      <c r="AB606" s="201"/>
      <c r="AC606" s="201"/>
      <c r="AD606" s="201"/>
      <c r="AE606" s="201"/>
      <c r="AF606" s="201"/>
      <c r="AG606" s="201"/>
      <c r="AH606" s="201"/>
      <c r="AI606" s="201"/>
      <c r="AJ606" s="201"/>
      <c r="AN606" s="201"/>
      <c r="AP606" s="201"/>
      <c r="AT606" s="201"/>
      <c r="AU606" s="201"/>
    </row>
    <row r="607" ht="15.75" customHeight="1">
      <c r="A607" s="200"/>
      <c r="B607" s="201"/>
      <c r="C607" s="201"/>
      <c r="D607" s="201"/>
      <c r="E607" s="201"/>
      <c r="F607" s="201"/>
      <c r="I607" s="201"/>
      <c r="N607" s="201"/>
      <c r="O607" s="201"/>
      <c r="S607" s="201"/>
      <c r="T607" s="201"/>
      <c r="AB607" s="201"/>
      <c r="AC607" s="201"/>
      <c r="AD607" s="201"/>
      <c r="AE607" s="201"/>
      <c r="AF607" s="201"/>
      <c r="AG607" s="201"/>
      <c r="AH607" s="201"/>
      <c r="AI607" s="201"/>
      <c r="AJ607" s="201"/>
      <c r="AN607" s="201"/>
      <c r="AP607" s="201"/>
      <c r="AT607" s="201"/>
      <c r="AU607" s="201"/>
    </row>
    <row r="608" ht="15.75" customHeight="1">
      <c r="A608" s="200"/>
      <c r="B608" s="201"/>
      <c r="C608" s="201"/>
      <c r="D608" s="201"/>
      <c r="E608" s="201"/>
      <c r="F608" s="201"/>
      <c r="I608" s="201"/>
      <c r="N608" s="201"/>
      <c r="O608" s="201"/>
      <c r="S608" s="201"/>
      <c r="T608" s="201"/>
      <c r="AB608" s="201"/>
      <c r="AC608" s="201"/>
      <c r="AD608" s="201"/>
      <c r="AE608" s="201"/>
      <c r="AF608" s="201"/>
      <c r="AG608" s="201"/>
      <c r="AH608" s="201"/>
      <c r="AI608" s="201"/>
      <c r="AJ608" s="201"/>
      <c r="AN608" s="201"/>
      <c r="AP608" s="201"/>
      <c r="AT608" s="201"/>
      <c r="AU608" s="201"/>
    </row>
    <row r="609" ht="15.75" customHeight="1">
      <c r="A609" s="200"/>
      <c r="B609" s="201"/>
      <c r="C609" s="201"/>
      <c r="D609" s="201"/>
      <c r="E609" s="201"/>
      <c r="F609" s="201"/>
      <c r="I609" s="201"/>
      <c r="N609" s="201"/>
      <c r="O609" s="201"/>
      <c r="S609" s="201"/>
      <c r="T609" s="201"/>
      <c r="AB609" s="201"/>
      <c r="AC609" s="201"/>
      <c r="AD609" s="201"/>
      <c r="AE609" s="201"/>
      <c r="AF609" s="201"/>
      <c r="AG609" s="201"/>
      <c r="AH609" s="201"/>
      <c r="AI609" s="201"/>
      <c r="AJ609" s="201"/>
      <c r="AN609" s="201"/>
      <c r="AP609" s="201"/>
      <c r="AT609" s="201"/>
      <c r="AU609" s="201"/>
    </row>
    <row r="610" ht="15.75" customHeight="1">
      <c r="A610" s="200"/>
      <c r="B610" s="201"/>
      <c r="C610" s="201"/>
      <c r="D610" s="201"/>
      <c r="E610" s="201"/>
      <c r="F610" s="201"/>
      <c r="I610" s="201"/>
      <c r="N610" s="201"/>
      <c r="O610" s="201"/>
      <c r="S610" s="201"/>
      <c r="T610" s="201"/>
      <c r="AB610" s="201"/>
      <c r="AC610" s="201"/>
      <c r="AD610" s="201"/>
      <c r="AE610" s="201"/>
      <c r="AF610" s="201"/>
      <c r="AG610" s="201"/>
      <c r="AH610" s="201"/>
      <c r="AI610" s="201"/>
      <c r="AJ610" s="201"/>
      <c r="AN610" s="201"/>
      <c r="AP610" s="201"/>
      <c r="AT610" s="201"/>
      <c r="AU610" s="201"/>
    </row>
    <row r="611" ht="15.75" customHeight="1">
      <c r="A611" s="200"/>
      <c r="B611" s="201"/>
      <c r="C611" s="201"/>
      <c r="D611" s="201"/>
      <c r="E611" s="201"/>
      <c r="F611" s="201"/>
      <c r="I611" s="201"/>
      <c r="N611" s="201"/>
      <c r="O611" s="201"/>
      <c r="S611" s="201"/>
      <c r="T611" s="201"/>
      <c r="AB611" s="201"/>
      <c r="AC611" s="201"/>
      <c r="AD611" s="201"/>
      <c r="AE611" s="201"/>
      <c r="AF611" s="201"/>
      <c r="AG611" s="201"/>
      <c r="AH611" s="201"/>
      <c r="AI611" s="201"/>
      <c r="AJ611" s="201"/>
      <c r="AN611" s="201"/>
      <c r="AP611" s="201"/>
      <c r="AT611" s="201"/>
      <c r="AU611" s="201"/>
    </row>
    <row r="612" ht="15.75" customHeight="1">
      <c r="A612" s="200"/>
      <c r="B612" s="201"/>
      <c r="C612" s="201"/>
      <c r="D612" s="201"/>
      <c r="E612" s="201"/>
      <c r="F612" s="201"/>
      <c r="I612" s="201"/>
      <c r="N612" s="201"/>
      <c r="O612" s="201"/>
      <c r="S612" s="201"/>
      <c r="T612" s="201"/>
      <c r="AB612" s="201"/>
      <c r="AC612" s="201"/>
      <c r="AD612" s="201"/>
      <c r="AE612" s="201"/>
      <c r="AF612" s="201"/>
      <c r="AG612" s="201"/>
      <c r="AH612" s="201"/>
      <c r="AI612" s="201"/>
      <c r="AJ612" s="201"/>
      <c r="AN612" s="201"/>
      <c r="AP612" s="201"/>
      <c r="AT612" s="201"/>
      <c r="AU612" s="201"/>
    </row>
    <row r="613" ht="15.75" customHeight="1">
      <c r="A613" s="200"/>
      <c r="B613" s="201"/>
      <c r="C613" s="201"/>
      <c r="D613" s="201"/>
      <c r="E613" s="201"/>
      <c r="F613" s="201"/>
      <c r="I613" s="201"/>
      <c r="N613" s="201"/>
      <c r="O613" s="201"/>
      <c r="S613" s="201"/>
      <c r="T613" s="201"/>
      <c r="AB613" s="201"/>
      <c r="AC613" s="201"/>
      <c r="AD613" s="201"/>
      <c r="AE613" s="201"/>
      <c r="AF613" s="201"/>
      <c r="AG613" s="201"/>
      <c r="AH613" s="201"/>
      <c r="AI613" s="201"/>
      <c r="AJ613" s="201"/>
      <c r="AN613" s="201"/>
      <c r="AP613" s="201"/>
      <c r="AT613" s="201"/>
      <c r="AU613" s="201"/>
    </row>
    <row r="614" ht="15.75" customHeight="1">
      <c r="A614" s="200"/>
      <c r="B614" s="201"/>
      <c r="C614" s="201"/>
      <c r="D614" s="201"/>
      <c r="E614" s="201"/>
      <c r="F614" s="201"/>
      <c r="I614" s="201"/>
      <c r="N614" s="201"/>
      <c r="O614" s="201"/>
      <c r="S614" s="201"/>
      <c r="T614" s="201"/>
      <c r="AB614" s="201"/>
      <c r="AC614" s="201"/>
      <c r="AD614" s="201"/>
      <c r="AE614" s="201"/>
      <c r="AF614" s="201"/>
      <c r="AG614" s="201"/>
      <c r="AH614" s="201"/>
      <c r="AI614" s="201"/>
      <c r="AJ614" s="201"/>
      <c r="AN614" s="201"/>
      <c r="AP614" s="201"/>
      <c r="AT614" s="201"/>
      <c r="AU614" s="201"/>
    </row>
    <row r="615" ht="15.75" customHeight="1">
      <c r="A615" s="200"/>
      <c r="B615" s="201"/>
      <c r="C615" s="201"/>
      <c r="D615" s="201"/>
      <c r="E615" s="201"/>
      <c r="F615" s="201"/>
      <c r="I615" s="201"/>
      <c r="N615" s="201"/>
      <c r="O615" s="201"/>
      <c r="S615" s="201"/>
      <c r="T615" s="201"/>
      <c r="AB615" s="201"/>
      <c r="AC615" s="201"/>
      <c r="AD615" s="201"/>
      <c r="AE615" s="201"/>
      <c r="AF615" s="201"/>
      <c r="AG615" s="201"/>
      <c r="AH615" s="201"/>
      <c r="AI615" s="201"/>
      <c r="AJ615" s="201"/>
      <c r="AN615" s="201"/>
      <c r="AP615" s="201"/>
      <c r="AT615" s="201"/>
      <c r="AU615" s="201"/>
    </row>
    <row r="616" ht="15.75" customHeight="1">
      <c r="A616" s="200"/>
      <c r="B616" s="201"/>
      <c r="C616" s="201"/>
      <c r="D616" s="201"/>
      <c r="E616" s="201"/>
      <c r="F616" s="201"/>
      <c r="I616" s="201"/>
      <c r="N616" s="201"/>
      <c r="O616" s="201"/>
      <c r="S616" s="201"/>
      <c r="T616" s="201"/>
      <c r="AB616" s="201"/>
      <c r="AC616" s="201"/>
      <c r="AD616" s="201"/>
      <c r="AE616" s="201"/>
      <c r="AF616" s="201"/>
      <c r="AG616" s="201"/>
      <c r="AH616" s="201"/>
      <c r="AI616" s="201"/>
      <c r="AJ616" s="201"/>
      <c r="AN616" s="201"/>
      <c r="AP616" s="201"/>
      <c r="AT616" s="201"/>
      <c r="AU616" s="201"/>
    </row>
    <row r="617" ht="15.75" customHeight="1">
      <c r="A617" s="200"/>
      <c r="B617" s="201"/>
      <c r="C617" s="201"/>
      <c r="D617" s="201"/>
      <c r="E617" s="201"/>
      <c r="F617" s="201"/>
      <c r="I617" s="201"/>
      <c r="N617" s="201"/>
      <c r="O617" s="201"/>
      <c r="S617" s="201"/>
      <c r="T617" s="201"/>
      <c r="AB617" s="201"/>
      <c r="AC617" s="201"/>
      <c r="AD617" s="201"/>
      <c r="AE617" s="201"/>
      <c r="AF617" s="201"/>
      <c r="AG617" s="201"/>
      <c r="AH617" s="201"/>
      <c r="AI617" s="201"/>
      <c r="AJ617" s="201"/>
      <c r="AN617" s="201"/>
      <c r="AP617" s="201"/>
      <c r="AT617" s="201"/>
      <c r="AU617" s="201"/>
    </row>
    <row r="618" ht="15.75" customHeight="1">
      <c r="A618" s="200"/>
      <c r="B618" s="201"/>
      <c r="C618" s="201"/>
      <c r="D618" s="201"/>
      <c r="E618" s="201"/>
      <c r="F618" s="201"/>
      <c r="I618" s="201"/>
      <c r="N618" s="201"/>
      <c r="O618" s="201"/>
      <c r="S618" s="201"/>
      <c r="T618" s="201"/>
      <c r="AB618" s="201"/>
      <c r="AC618" s="201"/>
      <c r="AD618" s="201"/>
      <c r="AE618" s="201"/>
      <c r="AF618" s="201"/>
      <c r="AG618" s="201"/>
      <c r="AH618" s="201"/>
      <c r="AI618" s="201"/>
      <c r="AJ618" s="201"/>
      <c r="AN618" s="201"/>
      <c r="AP618" s="201"/>
      <c r="AT618" s="201"/>
      <c r="AU618" s="201"/>
    </row>
    <row r="619" ht="15.75" customHeight="1">
      <c r="A619" s="200"/>
      <c r="B619" s="201"/>
      <c r="C619" s="201"/>
      <c r="D619" s="201"/>
      <c r="E619" s="201"/>
      <c r="F619" s="201"/>
      <c r="I619" s="201"/>
      <c r="N619" s="201"/>
      <c r="O619" s="201"/>
      <c r="S619" s="201"/>
      <c r="T619" s="201"/>
      <c r="AB619" s="201"/>
      <c r="AC619" s="201"/>
      <c r="AD619" s="201"/>
      <c r="AE619" s="201"/>
      <c r="AF619" s="201"/>
      <c r="AG619" s="201"/>
      <c r="AH619" s="201"/>
      <c r="AI619" s="201"/>
      <c r="AJ619" s="201"/>
      <c r="AN619" s="201"/>
      <c r="AP619" s="201"/>
      <c r="AT619" s="201"/>
      <c r="AU619" s="201"/>
    </row>
    <row r="620" ht="15.75" customHeight="1">
      <c r="A620" s="200"/>
      <c r="B620" s="201"/>
      <c r="C620" s="201"/>
      <c r="D620" s="201"/>
      <c r="E620" s="201"/>
      <c r="F620" s="201"/>
      <c r="I620" s="201"/>
      <c r="N620" s="201"/>
      <c r="O620" s="201"/>
      <c r="S620" s="201"/>
      <c r="T620" s="201"/>
      <c r="AB620" s="201"/>
      <c r="AC620" s="201"/>
      <c r="AD620" s="201"/>
      <c r="AE620" s="201"/>
      <c r="AF620" s="201"/>
      <c r="AG620" s="201"/>
      <c r="AH620" s="201"/>
      <c r="AI620" s="201"/>
      <c r="AJ620" s="201"/>
      <c r="AN620" s="201"/>
      <c r="AP620" s="201"/>
      <c r="AT620" s="201"/>
      <c r="AU620" s="201"/>
    </row>
    <row r="621" ht="15.75" customHeight="1">
      <c r="A621" s="200"/>
      <c r="B621" s="201"/>
      <c r="C621" s="201"/>
      <c r="D621" s="201"/>
      <c r="E621" s="201"/>
      <c r="F621" s="201"/>
      <c r="I621" s="201"/>
      <c r="N621" s="201"/>
      <c r="O621" s="201"/>
      <c r="S621" s="201"/>
      <c r="T621" s="201"/>
      <c r="AB621" s="201"/>
      <c r="AC621" s="201"/>
      <c r="AD621" s="201"/>
      <c r="AE621" s="201"/>
      <c r="AF621" s="201"/>
      <c r="AG621" s="201"/>
      <c r="AH621" s="201"/>
      <c r="AI621" s="201"/>
      <c r="AJ621" s="201"/>
      <c r="AN621" s="201"/>
      <c r="AP621" s="201"/>
      <c r="AT621" s="201"/>
      <c r="AU621" s="201"/>
    </row>
    <row r="622" ht="15.75" customHeight="1">
      <c r="A622" s="200"/>
      <c r="B622" s="201"/>
      <c r="C622" s="201"/>
      <c r="D622" s="201"/>
      <c r="E622" s="201"/>
      <c r="F622" s="201"/>
      <c r="I622" s="201"/>
      <c r="N622" s="201"/>
      <c r="O622" s="201"/>
      <c r="S622" s="201"/>
      <c r="T622" s="201"/>
      <c r="AB622" s="201"/>
      <c r="AC622" s="201"/>
      <c r="AD622" s="201"/>
      <c r="AE622" s="201"/>
      <c r="AF622" s="201"/>
      <c r="AG622" s="201"/>
      <c r="AH622" s="201"/>
      <c r="AI622" s="201"/>
      <c r="AJ622" s="201"/>
      <c r="AN622" s="201"/>
      <c r="AP622" s="201"/>
      <c r="AT622" s="201"/>
      <c r="AU622" s="201"/>
    </row>
    <row r="623" ht="15.75" customHeight="1">
      <c r="A623" s="200"/>
      <c r="B623" s="201"/>
      <c r="C623" s="201"/>
      <c r="D623" s="201"/>
      <c r="E623" s="201"/>
      <c r="F623" s="201"/>
      <c r="I623" s="201"/>
      <c r="N623" s="201"/>
      <c r="O623" s="201"/>
      <c r="S623" s="201"/>
      <c r="T623" s="201"/>
      <c r="AB623" s="201"/>
      <c r="AC623" s="201"/>
      <c r="AD623" s="201"/>
      <c r="AE623" s="201"/>
      <c r="AF623" s="201"/>
      <c r="AG623" s="201"/>
      <c r="AH623" s="201"/>
      <c r="AI623" s="201"/>
      <c r="AJ623" s="201"/>
      <c r="AN623" s="201"/>
      <c r="AP623" s="201"/>
      <c r="AT623" s="201"/>
      <c r="AU623" s="201"/>
    </row>
    <row r="624" ht="15.75" customHeight="1">
      <c r="A624" s="200"/>
      <c r="B624" s="201"/>
      <c r="C624" s="201"/>
      <c r="D624" s="201"/>
      <c r="E624" s="201"/>
      <c r="F624" s="201"/>
      <c r="I624" s="201"/>
      <c r="N624" s="201"/>
      <c r="O624" s="201"/>
      <c r="S624" s="201"/>
      <c r="T624" s="201"/>
      <c r="AB624" s="201"/>
      <c r="AC624" s="201"/>
      <c r="AD624" s="201"/>
      <c r="AE624" s="201"/>
      <c r="AF624" s="201"/>
      <c r="AG624" s="201"/>
      <c r="AH624" s="201"/>
      <c r="AI624" s="201"/>
      <c r="AJ624" s="201"/>
      <c r="AN624" s="201"/>
      <c r="AP624" s="201"/>
      <c r="AT624" s="201"/>
      <c r="AU624" s="201"/>
    </row>
    <row r="625" ht="15.75" customHeight="1">
      <c r="A625" s="200"/>
      <c r="B625" s="201"/>
      <c r="C625" s="201"/>
      <c r="D625" s="201"/>
      <c r="E625" s="201"/>
      <c r="F625" s="201"/>
      <c r="I625" s="201"/>
      <c r="N625" s="201"/>
      <c r="O625" s="201"/>
      <c r="S625" s="201"/>
      <c r="T625" s="201"/>
      <c r="AB625" s="201"/>
      <c r="AC625" s="201"/>
      <c r="AD625" s="201"/>
      <c r="AE625" s="201"/>
      <c r="AF625" s="201"/>
      <c r="AG625" s="201"/>
      <c r="AH625" s="201"/>
      <c r="AI625" s="201"/>
      <c r="AJ625" s="201"/>
      <c r="AN625" s="201"/>
      <c r="AP625" s="201"/>
      <c r="AT625" s="201"/>
      <c r="AU625" s="201"/>
    </row>
    <row r="626" ht="15.75" customHeight="1">
      <c r="A626" s="200"/>
      <c r="B626" s="201"/>
      <c r="C626" s="201"/>
      <c r="D626" s="201"/>
      <c r="E626" s="201"/>
      <c r="F626" s="201"/>
      <c r="I626" s="201"/>
      <c r="N626" s="201"/>
      <c r="O626" s="201"/>
      <c r="S626" s="201"/>
      <c r="T626" s="201"/>
      <c r="AB626" s="201"/>
      <c r="AC626" s="201"/>
      <c r="AD626" s="201"/>
      <c r="AE626" s="201"/>
      <c r="AF626" s="201"/>
      <c r="AG626" s="201"/>
      <c r="AH626" s="201"/>
      <c r="AI626" s="201"/>
      <c r="AJ626" s="201"/>
      <c r="AN626" s="201"/>
      <c r="AP626" s="201"/>
      <c r="AT626" s="201"/>
      <c r="AU626" s="201"/>
    </row>
    <row r="627" ht="15.75" customHeight="1">
      <c r="A627" s="200"/>
      <c r="B627" s="201"/>
      <c r="C627" s="201"/>
      <c r="D627" s="201"/>
      <c r="E627" s="201"/>
      <c r="F627" s="201"/>
      <c r="I627" s="201"/>
      <c r="N627" s="201"/>
      <c r="O627" s="201"/>
      <c r="S627" s="201"/>
      <c r="T627" s="201"/>
      <c r="AB627" s="201"/>
      <c r="AC627" s="201"/>
      <c r="AD627" s="201"/>
      <c r="AE627" s="201"/>
      <c r="AF627" s="201"/>
      <c r="AG627" s="201"/>
      <c r="AH627" s="201"/>
      <c r="AI627" s="201"/>
      <c r="AJ627" s="201"/>
      <c r="AN627" s="201"/>
      <c r="AP627" s="201"/>
      <c r="AT627" s="201"/>
      <c r="AU627" s="201"/>
    </row>
    <row r="628" ht="15.75" customHeight="1">
      <c r="A628" s="200"/>
      <c r="B628" s="201"/>
      <c r="C628" s="201"/>
      <c r="D628" s="201"/>
      <c r="E628" s="201"/>
      <c r="F628" s="201"/>
      <c r="I628" s="201"/>
      <c r="N628" s="201"/>
      <c r="O628" s="201"/>
      <c r="S628" s="201"/>
      <c r="T628" s="201"/>
      <c r="AB628" s="201"/>
      <c r="AC628" s="201"/>
      <c r="AD628" s="201"/>
      <c r="AE628" s="201"/>
      <c r="AF628" s="201"/>
      <c r="AG628" s="201"/>
      <c r="AH628" s="201"/>
      <c r="AI628" s="201"/>
      <c r="AJ628" s="201"/>
      <c r="AN628" s="201"/>
      <c r="AP628" s="201"/>
      <c r="AT628" s="201"/>
      <c r="AU628" s="201"/>
    </row>
    <row r="629" ht="15.75" customHeight="1">
      <c r="A629" s="200"/>
      <c r="B629" s="201"/>
      <c r="C629" s="201"/>
      <c r="D629" s="201"/>
      <c r="E629" s="201"/>
      <c r="F629" s="201"/>
      <c r="I629" s="201"/>
      <c r="N629" s="201"/>
      <c r="O629" s="201"/>
      <c r="S629" s="201"/>
      <c r="T629" s="201"/>
      <c r="AB629" s="201"/>
      <c r="AC629" s="201"/>
      <c r="AD629" s="201"/>
      <c r="AE629" s="201"/>
      <c r="AF629" s="201"/>
      <c r="AG629" s="201"/>
      <c r="AH629" s="201"/>
      <c r="AI629" s="201"/>
      <c r="AJ629" s="201"/>
      <c r="AN629" s="201"/>
      <c r="AP629" s="201"/>
      <c r="AT629" s="201"/>
      <c r="AU629" s="201"/>
    </row>
    <row r="630" ht="15.75" customHeight="1">
      <c r="A630" s="200"/>
      <c r="B630" s="201"/>
      <c r="C630" s="201"/>
      <c r="D630" s="201"/>
      <c r="E630" s="201"/>
      <c r="F630" s="201"/>
      <c r="I630" s="201"/>
      <c r="N630" s="201"/>
      <c r="O630" s="201"/>
      <c r="S630" s="201"/>
      <c r="T630" s="201"/>
      <c r="AB630" s="201"/>
      <c r="AC630" s="201"/>
      <c r="AD630" s="201"/>
      <c r="AE630" s="201"/>
      <c r="AF630" s="201"/>
      <c r="AG630" s="201"/>
      <c r="AH630" s="201"/>
      <c r="AI630" s="201"/>
      <c r="AJ630" s="201"/>
      <c r="AN630" s="201"/>
      <c r="AP630" s="201"/>
      <c r="AT630" s="201"/>
      <c r="AU630" s="201"/>
    </row>
    <row r="631" ht="15.75" customHeight="1">
      <c r="A631" s="200"/>
      <c r="B631" s="201"/>
      <c r="C631" s="201"/>
      <c r="D631" s="201"/>
      <c r="E631" s="201"/>
      <c r="F631" s="201"/>
      <c r="I631" s="201"/>
      <c r="N631" s="201"/>
      <c r="O631" s="201"/>
      <c r="S631" s="201"/>
      <c r="T631" s="201"/>
      <c r="AB631" s="201"/>
      <c r="AC631" s="201"/>
      <c r="AD631" s="201"/>
      <c r="AE631" s="201"/>
      <c r="AF631" s="201"/>
      <c r="AG631" s="201"/>
      <c r="AH631" s="201"/>
      <c r="AI631" s="201"/>
      <c r="AJ631" s="201"/>
      <c r="AN631" s="201"/>
      <c r="AP631" s="201"/>
      <c r="AT631" s="201"/>
      <c r="AU631" s="201"/>
    </row>
    <row r="632" ht="15.75" customHeight="1">
      <c r="A632" s="200"/>
      <c r="B632" s="201"/>
      <c r="C632" s="201"/>
      <c r="D632" s="201"/>
      <c r="E632" s="201"/>
      <c r="F632" s="201"/>
      <c r="I632" s="201"/>
      <c r="N632" s="201"/>
      <c r="O632" s="201"/>
      <c r="S632" s="201"/>
      <c r="T632" s="201"/>
      <c r="AB632" s="201"/>
      <c r="AC632" s="201"/>
      <c r="AD632" s="201"/>
      <c r="AE632" s="201"/>
      <c r="AF632" s="201"/>
      <c r="AG632" s="201"/>
      <c r="AH632" s="201"/>
      <c r="AI632" s="201"/>
      <c r="AJ632" s="201"/>
      <c r="AN632" s="201"/>
      <c r="AP632" s="201"/>
      <c r="AT632" s="201"/>
      <c r="AU632" s="201"/>
    </row>
    <row r="633" ht="15.75" customHeight="1">
      <c r="A633" s="200"/>
      <c r="B633" s="201"/>
      <c r="C633" s="201"/>
      <c r="D633" s="201"/>
      <c r="E633" s="201"/>
      <c r="F633" s="201"/>
      <c r="I633" s="201"/>
      <c r="N633" s="201"/>
      <c r="O633" s="201"/>
      <c r="S633" s="201"/>
      <c r="T633" s="201"/>
      <c r="AB633" s="201"/>
      <c r="AC633" s="201"/>
      <c r="AD633" s="201"/>
      <c r="AE633" s="201"/>
      <c r="AF633" s="201"/>
      <c r="AG633" s="201"/>
      <c r="AH633" s="201"/>
      <c r="AI633" s="201"/>
      <c r="AJ633" s="201"/>
      <c r="AN633" s="201"/>
      <c r="AP633" s="201"/>
      <c r="AT633" s="201"/>
      <c r="AU633" s="201"/>
    </row>
    <row r="634" ht="15.75" customHeight="1">
      <c r="A634" s="200"/>
      <c r="B634" s="201"/>
      <c r="C634" s="201"/>
      <c r="D634" s="201"/>
      <c r="E634" s="201"/>
      <c r="F634" s="201"/>
      <c r="I634" s="201"/>
      <c r="N634" s="201"/>
      <c r="O634" s="201"/>
      <c r="S634" s="201"/>
      <c r="T634" s="201"/>
      <c r="AB634" s="201"/>
      <c r="AC634" s="201"/>
      <c r="AD634" s="201"/>
      <c r="AE634" s="201"/>
      <c r="AF634" s="201"/>
      <c r="AG634" s="201"/>
      <c r="AH634" s="201"/>
      <c r="AI634" s="201"/>
      <c r="AJ634" s="201"/>
      <c r="AN634" s="201"/>
      <c r="AP634" s="201"/>
      <c r="AT634" s="201"/>
      <c r="AU634" s="201"/>
    </row>
    <row r="635" ht="15.75" customHeight="1">
      <c r="A635" s="200"/>
      <c r="B635" s="201"/>
      <c r="C635" s="201"/>
      <c r="D635" s="201"/>
      <c r="E635" s="201"/>
      <c r="F635" s="201"/>
      <c r="I635" s="201"/>
      <c r="N635" s="201"/>
      <c r="O635" s="201"/>
      <c r="S635" s="201"/>
      <c r="T635" s="201"/>
      <c r="AB635" s="201"/>
      <c r="AC635" s="201"/>
      <c r="AD635" s="201"/>
      <c r="AE635" s="201"/>
      <c r="AF635" s="201"/>
      <c r="AG635" s="201"/>
      <c r="AH635" s="201"/>
      <c r="AI635" s="201"/>
      <c r="AJ635" s="201"/>
      <c r="AN635" s="201"/>
      <c r="AP635" s="201"/>
      <c r="AT635" s="201"/>
      <c r="AU635" s="201"/>
    </row>
    <row r="636" ht="15.75" customHeight="1">
      <c r="A636" s="200"/>
      <c r="B636" s="201"/>
      <c r="C636" s="201"/>
      <c r="D636" s="201"/>
      <c r="E636" s="201"/>
      <c r="F636" s="201"/>
      <c r="I636" s="201"/>
      <c r="N636" s="201"/>
      <c r="O636" s="201"/>
      <c r="S636" s="201"/>
      <c r="T636" s="201"/>
      <c r="AB636" s="201"/>
      <c r="AC636" s="201"/>
      <c r="AD636" s="201"/>
      <c r="AE636" s="201"/>
      <c r="AF636" s="201"/>
      <c r="AG636" s="201"/>
      <c r="AH636" s="201"/>
      <c r="AI636" s="201"/>
      <c r="AJ636" s="201"/>
      <c r="AN636" s="201"/>
      <c r="AP636" s="201"/>
      <c r="AT636" s="201"/>
      <c r="AU636" s="201"/>
    </row>
    <row r="637" ht="15.75" customHeight="1">
      <c r="A637" s="200"/>
      <c r="B637" s="201"/>
      <c r="C637" s="201"/>
      <c r="D637" s="201"/>
      <c r="E637" s="201"/>
      <c r="F637" s="201"/>
      <c r="I637" s="201"/>
      <c r="N637" s="201"/>
      <c r="O637" s="201"/>
      <c r="S637" s="201"/>
      <c r="T637" s="201"/>
      <c r="AB637" s="201"/>
      <c r="AC637" s="201"/>
      <c r="AD637" s="201"/>
      <c r="AE637" s="201"/>
      <c r="AF637" s="201"/>
      <c r="AG637" s="201"/>
      <c r="AH637" s="201"/>
      <c r="AI637" s="201"/>
      <c r="AJ637" s="201"/>
      <c r="AN637" s="201"/>
      <c r="AP637" s="201"/>
      <c r="AT637" s="201"/>
      <c r="AU637" s="201"/>
    </row>
    <row r="638" ht="15.75" customHeight="1">
      <c r="A638" s="200"/>
      <c r="B638" s="201"/>
      <c r="C638" s="201"/>
      <c r="D638" s="201"/>
      <c r="E638" s="201"/>
      <c r="F638" s="201"/>
      <c r="I638" s="201"/>
      <c r="N638" s="201"/>
      <c r="O638" s="201"/>
      <c r="S638" s="201"/>
      <c r="T638" s="201"/>
      <c r="AB638" s="201"/>
      <c r="AC638" s="201"/>
      <c r="AD638" s="201"/>
      <c r="AE638" s="201"/>
      <c r="AF638" s="201"/>
      <c r="AG638" s="201"/>
      <c r="AH638" s="201"/>
      <c r="AI638" s="201"/>
      <c r="AJ638" s="201"/>
      <c r="AN638" s="201"/>
      <c r="AP638" s="201"/>
      <c r="AT638" s="201"/>
      <c r="AU638" s="201"/>
    </row>
    <row r="639" ht="15.75" customHeight="1">
      <c r="A639" s="200"/>
      <c r="B639" s="201"/>
      <c r="C639" s="201"/>
      <c r="D639" s="201"/>
      <c r="E639" s="201"/>
      <c r="F639" s="201"/>
      <c r="I639" s="201"/>
      <c r="N639" s="201"/>
      <c r="O639" s="201"/>
      <c r="S639" s="201"/>
      <c r="T639" s="201"/>
      <c r="AB639" s="201"/>
      <c r="AC639" s="201"/>
      <c r="AD639" s="201"/>
      <c r="AE639" s="201"/>
      <c r="AF639" s="201"/>
      <c r="AG639" s="201"/>
      <c r="AH639" s="201"/>
      <c r="AI639" s="201"/>
      <c r="AJ639" s="201"/>
      <c r="AN639" s="201"/>
      <c r="AP639" s="201"/>
      <c r="AT639" s="201"/>
      <c r="AU639" s="201"/>
    </row>
    <row r="640" ht="15.75" customHeight="1">
      <c r="A640" s="200"/>
      <c r="B640" s="201"/>
      <c r="C640" s="201"/>
      <c r="D640" s="201"/>
      <c r="E640" s="201"/>
      <c r="F640" s="201"/>
      <c r="I640" s="201"/>
      <c r="N640" s="201"/>
      <c r="O640" s="201"/>
      <c r="S640" s="201"/>
      <c r="T640" s="201"/>
      <c r="AB640" s="201"/>
      <c r="AC640" s="201"/>
      <c r="AD640" s="201"/>
      <c r="AE640" s="201"/>
      <c r="AF640" s="201"/>
      <c r="AG640" s="201"/>
      <c r="AH640" s="201"/>
      <c r="AI640" s="201"/>
      <c r="AJ640" s="201"/>
      <c r="AN640" s="201"/>
      <c r="AP640" s="201"/>
      <c r="AT640" s="201"/>
      <c r="AU640" s="201"/>
    </row>
    <row r="641" ht="15.75" customHeight="1">
      <c r="A641" s="200"/>
      <c r="B641" s="201"/>
      <c r="C641" s="201"/>
      <c r="D641" s="201"/>
      <c r="E641" s="201"/>
      <c r="F641" s="201"/>
      <c r="I641" s="201"/>
      <c r="N641" s="201"/>
      <c r="O641" s="201"/>
      <c r="S641" s="201"/>
      <c r="T641" s="201"/>
      <c r="AB641" s="201"/>
      <c r="AC641" s="201"/>
      <c r="AD641" s="201"/>
      <c r="AE641" s="201"/>
      <c r="AF641" s="201"/>
      <c r="AG641" s="201"/>
      <c r="AH641" s="201"/>
      <c r="AI641" s="201"/>
      <c r="AJ641" s="201"/>
      <c r="AN641" s="201"/>
      <c r="AP641" s="201"/>
      <c r="AT641" s="201"/>
      <c r="AU641" s="201"/>
    </row>
    <row r="642" ht="15.75" customHeight="1">
      <c r="A642" s="200"/>
      <c r="B642" s="201"/>
      <c r="C642" s="201"/>
      <c r="D642" s="201"/>
      <c r="E642" s="201"/>
      <c r="F642" s="201"/>
      <c r="I642" s="201"/>
      <c r="N642" s="201"/>
      <c r="O642" s="201"/>
      <c r="S642" s="201"/>
      <c r="T642" s="201"/>
      <c r="AB642" s="201"/>
      <c r="AC642" s="201"/>
      <c r="AD642" s="201"/>
      <c r="AE642" s="201"/>
      <c r="AF642" s="201"/>
      <c r="AG642" s="201"/>
      <c r="AH642" s="201"/>
      <c r="AI642" s="201"/>
      <c r="AJ642" s="201"/>
      <c r="AN642" s="201"/>
      <c r="AP642" s="201"/>
      <c r="AT642" s="201"/>
      <c r="AU642" s="201"/>
    </row>
    <row r="643" ht="15.75" customHeight="1">
      <c r="A643" s="200"/>
      <c r="B643" s="201"/>
      <c r="C643" s="201"/>
      <c r="D643" s="201"/>
      <c r="E643" s="201"/>
      <c r="F643" s="201"/>
      <c r="I643" s="201"/>
      <c r="N643" s="201"/>
      <c r="O643" s="201"/>
      <c r="S643" s="201"/>
      <c r="T643" s="201"/>
      <c r="AB643" s="201"/>
      <c r="AC643" s="201"/>
      <c r="AD643" s="201"/>
      <c r="AE643" s="201"/>
      <c r="AF643" s="201"/>
      <c r="AG643" s="201"/>
      <c r="AH643" s="201"/>
      <c r="AI643" s="201"/>
      <c r="AJ643" s="201"/>
      <c r="AN643" s="201"/>
      <c r="AP643" s="201"/>
      <c r="AT643" s="201"/>
      <c r="AU643" s="201"/>
    </row>
    <row r="644" ht="15.75" customHeight="1">
      <c r="A644" s="200"/>
      <c r="B644" s="201"/>
      <c r="C644" s="201"/>
      <c r="D644" s="201"/>
      <c r="E644" s="201"/>
      <c r="F644" s="201"/>
      <c r="I644" s="201"/>
      <c r="N644" s="201"/>
      <c r="O644" s="201"/>
      <c r="S644" s="201"/>
      <c r="T644" s="201"/>
      <c r="AB644" s="201"/>
      <c r="AC644" s="201"/>
      <c r="AD644" s="201"/>
      <c r="AE644" s="201"/>
      <c r="AF644" s="201"/>
      <c r="AG644" s="201"/>
      <c r="AH644" s="201"/>
      <c r="AI644" s="201"/>
      <c r="AJ644" s="201"/>
      <c r="AN644" s="201"/>
      <c r="AP644" s="201"/>
      <c r="AT644" s="201"/>
      <c r="AU644" s="201"/>
    </row>
    <row r="645" ht="15.75" customHeight="1">
      <c r="A645" s="200"/>
      <c r="B645" s="201"/>
      <c r="C645" s="201"/>
      <c r="D645" s="201"/>
      <c r="E645" s="201"/>
      <c r="F645" s="201"/>
      <c r="I645" s="201"/>
      <c r="N645" s="201"/>
      <c r="O645" s="201"/>
      <c r="S645" s="201"/>
      <c r="T645" s="201"/>
      <c r="AB645" s="201"/>
      <c r="AC645" s="201"/>
      <c r="AD645" s="201"/>
      <c r="AE645" s="201"/>
      <c r="AF645" s="201"/>
      <c r="AG645" s="201"/>
      <c r="AH645" s="201"/>
      <c r="AI645" s="201"/>
      <c r="AJ645" s="201"/>
      <c r="AN645" s="201"/>
      <c r="AP645" s="201"/>
      <c r="AT645" s="201"/>
      <c r="AU645" s="201"/>
    </row>
    <row r="646" ht="15.75" customHeight="1">
      <c r="A646" s="200"/>
      <c r="B646" s="201"/>
      <c r="C646" s="201"/>
      <c r="D646" s="201"/>
      <c r="E646" s="201"/>
      <c r="F646" s="201"/>
      <c r="I646" s="201"/>
      <c r="N646" s="201"/>
      <c r="O646" s="201"/>
      <c r="S646" s="201"/>
      <c r="T646" s="201"/>
      <c r="AB646" s="201"/>
      <c r="AC646" s="201"/>
      <c r="AD646" s="201"/>
      <c r="AE646" s="201"/>
      <c r="AF646" s="201"/>
      <c r="AG646" s="201"/>
      <c r="AH646" s="201"/>
      <c r="AI646" s="201"/>
      <c r="AJ646" s="201"/>
      <c r="AN646" s="201"/>
      <c r="AP646" s="201"/>
      <c r="AT646" s="201"/>
      <c r="AU646" s="201"/>
    </row>
    <row r="647" ht="15.75" customHeight="1">
      <c r="A647" s="200"/>
      <c r="B647" s="201"/>
      <c r="C647" s="201"/>
      <c r="D647" s="201"/>
      <c r="E647" s="201"/>
      <c r="F647" s="201"/>
      <c r="I647" s="201"/>
      <c r="N647" s="201"/>
      <c r="O647" s="201"/>
      <c r="S647" s="201"/>
      <c r="T647" s="201"/>
      <c r="AB647" s="201"/>
      <c r="AC647" s="201"/>
      <c r="AD647" s="201"/>
      <c r="AE647" s="201"/>
      <c r="AF647" s="201"/>
      <c r="AG647" s="201"/>
      <c r="AH647" s="201"/>
      <c r="AI647" s="201"/>
      <c r="AJ647" s="201"/>
      <c r="AN647" s="201"/>
      <c r="AP647" s="201"/>
      <c r="AT647" s="201"/>
      <c r="AU647" s="201"/>
    </row>
    <row r="648" ht="15.75" customHeight="1">
      <c r="A648" s="200"/>
      <c r="B648" s="201"/>
      <c r="C648" s="201"/>
      <c r="D648" s="201"/>
      <c r="E648" s="201"/>
      <c r="F648" s="201"/>
      <c r="I648" s="201"/>
      <c r="N648" s="201"/>
      <c r="O648" s="201"/>
      <c r="S648" s="201"/>
      <c r="T648" s="201"/>
      <c r="AB648" s="201"/>
      <c r="AC648" s="201"/>
      <c r="AD648" s="201"/>
      <c r="AE648" s="201"/>
      <c r="AF648" s="201"/>
      <c r="AG648" s="201"/>
      <c r="AH648" s="201"/>
      <c r="AI648" s="201"/>
      <c r="AJ648" s="201"/>
      <c r="AN648" s="201"/>
      <c r="AP648" s="201"/>
      <c r="AT648" s="201"/>
      <c r="AU648" s="201"/>
    </row>
    <row r="649" ht="15.75" customHeight="1">
      <c r="A649" s="200"/>
      <c r="B649" s="201"/>
      <c r="C649" s="201"/>
      <c r="D649" s="201"/>
      <c r="E649" s="201"/>
      <c r="F649" s="201"/>
      <c r="I649" s="201"/>
      <c r="N649" s="201"/>
      <c r="O649" s="201"/>
      <c r="S649" s="201"/>
      <c r="T649" s="201"/>
      <c r="AB649" s="201"/>
      <c r="AC649" s="201"/>
      <c r="AD649" s="201"/>
      <c r="AE649" s="201"/>
      <c r="AF649" s="201"/>
      <c r="AG649" s="201"/>
      <c r="AH649" s="201"/>
      <c r="AI649" s="201"/>
      <c r="AJ649" s="201"/>
      <c r="AN649" s="201"/>
      <c r="AP649" s="201"/>
      <c r="AT649" s="201"/>
      <c r="AU649" s="201"/>
    </row>
    <row r="650" ht="15.75" customHeight="1">
      <c r="A650" s="200"/>
      <c r="B650" s="201"/>
      <c r="C650" s="201"/>
      <c r="D650" s="201"/>
      <c r="E650" s="201"/>
      <c r="F650" s="201"/>
      <c r="I650" s="201"/>
      <c r="N650" s="201"/>
      <c r="O650" s="201"/>
      <c r="S650" s="201"/>
      <c r="T650" s="201"/>
      <c r="AB650" s="201"/>
      <c r="AC650" s="201"/>
      <c r="AD650" s="201"/>
      <c r="AE650" s="201"/>
      <c r="AF650" s="201"/>
      <c r="AG650" s="201"/>
      <c r="AH650" s="201"/>
      <c r="AI650" s="201"/>
      <c r="AJ650" s="201"/>
      <c r="AN650" s="201"/>
      <c r="AP650" s="201"/>
      <c r="AT650" s="201"/>
      <c r="AU650" s="201"/>
    </row>
    <row r="651" ht="15.75" customHeight="1">
      <c r="A651" s="200"/>
      <c r="B651" s="201"/>
      <c r="C651" s="201"/>
      <c r="D651" s="201"/>
      <c r="E651" s="201"/>
      <c r="F651" s="201"/>
      <c r="I651" s="201"/>
      <c r="N651" s="201"/>
      <c r="O651" s="201"/>
      <c r="S651" s="201"/>
      <c r="T651" s="201"/>
      <c r="AB651" s="201"/>
      <c r="AC651" s="201"/>
      <c r="AD651" s="201"/>
      <c r="AE651" s="201"/>
      <c r="AF651" s="201"/>
      <c r="AG651" s="201"/>
      <c r="AH651" s="201"/>
      <c r="AI651" s="201"/>
      <c r="AJ651" s="201"/>
      <c r="AN651" s="201"/>
      <c r="AP651" s="201"/>
      <c r="AT651" s="201"/>
      <c r="AU651" s="201"/>
    </row>
    <row r="652" ht="15.75" customHeight="1">
      <c r="A652" s="200"/>
      <c r="B652" s="201"/>
      <c r="C652" s="201"/>
      <c r="D652" s="201"/>
      <c r="E652" s="201"/>
      <c r="F652" s="201"/>
      <c r="I652" s="201"/>
      <c r="N652" s="201"/>
      <c r="O652" s="201"/>
      <c r="S652" s="201"/>
      <c r="T652" s="201"/>
      <c r="AB652" s="201"/>
      <c r="AC652" s="201"/>
      <c r="AD652" s="201"/>
      <c r="AE652" s="201"/>
      <c r="AF652" s="201"/>
      <c r="AG652" s="201"/>
      <c r="AH652" s="201"/>
      <c r="AI652" s="201"/>
      <c r="AJ652" s="201"/>
      <c r="AN652" s="201"/>
      <c r="AP652" s="201"/>
      <c r="AT652" s="201"/>
      <c r="AU652" s="201"/>
    </row>
    <row r="653" ht="15.75" customHeight="1">
      <c r="A653" s="200"/>
      <c r="B653" s="201"/>
      <c r="C653" s="201"/>
      <c r="D653" s="201"/>
      <c r="E653" s="201"/>
      <c r="F653" s="201"/>
      <c r="I653" s="201"/>
      <c r="N653" s="201"/>
      <c r="O653" s="201"/>
      <c r="S653" s="201"/>
      <c r="T653" s="201"/>
      <c r="AB653" s="201"/>
      <c r="AC653" s="201"/>
      <c r="AD653" s="201"/>
      <c r="AE653" s="201"/>
      <c r="AF653" s="201"/>
      <c r="AG653" s="201"/>
      <c r="AH653" s="201"/>
      <c r="AI653" s="201"/>
      <c r="AJ653" s="201"/>
      <c r="AN653" s="201"/>
      <c r="AP653" s="201"/>
      <c r="AT653" s="201"/>
      <c r="AU653" s="201"/>
    </row>
    <row r="654" ht="15.75" customHeight="1">
      <c r="A654" s="200"/>
      <c r="B654" s="201"/>
      <c r="C654" s="201"/>
      <c r="D654" s="201"/>
      <c r="E654" s="201"/>
      <c r="F654" s="201"/>
      <c r="I654" s="201"/>
      <c r="N654" s="201"/>
      <c r="O654" s="201"/>
      <c r="S654" s="201"/>
      <c r="T654" s="201"/>
      <c r="AB654" s="201"/>
      <c r="AC654" s="201"/>
      <c r="AD654" s="201"/>
      <c r="AE654" s="201"/>
      <c r="AF654" s="201"/>
      <c r="AG654" s="201"/>
      <c r="AH654" s="201"/>
      <c r="AI654" s="201"/>
      <c r="AJ654" s="201"/>
      <c r="AN654" s="201"/>
      <c r="AP654" s="201"/>
      <c r="AT654" s="201"/>
      <c r="AU654" s="201"/>
    </row>
    <row r="655" ht="15.75" customHeight="1">
      <c r="A655" s="200"/>
      <c r="B655" s="201"/>
      <c r="C655" s="201"/>
      <c r="D655" s="201"/>
      <c r="E655" s="201"/>
      <c r="F655" s="201"/>
      <c r="I655" s="201"/>
      <c r="N655" s="201"/>
      <c r="O655" s="201"/>
      <c r="S655" s="201"/>
      <c r="T655" s="201"/>
      <c r="AB655" s="201"/>
      <c r="AC655" s="201"/>
      <c r="AD655" s="201"/>
      <c r="AE655" s="201"/>
      <c r="AF655" s="201"/>
      <c r="AG655" s="201"/>
      <c r="AH655" s="201"/>
      <c r="AI655" s="201"/>
      <c r="AJ655" s="201"/>
      <c r="AN655" s="201"/>
      <c r="AP655" s="201"/>
      <c r="AT655" s="201"/>
      <c r="AU655" s="201"/>
    </row>
    <row r="656" ht="15.75" customHeight="1">
      <c r="A656" s="200"/>
      <c r="B656" s="201"/>
      <c r="C656" s="201"/>
      <c r="D656" s="201"/>
      <c r="E656" s="201"/>
      <c r="F656" s="201"/>
      <c r="I656" s="201"/>
      <c r="N656" s="201"/>
      <c r="O656" s="201"/>
      <c r="S656" s="201"/>
      <c r="T656" s="201"/>
      <c r="AB656" s="201"/>
      <c r="AC656" s="201"/>
      <c r="AD656" s="201"/>
      <c r="AE656" s="201"/>
      <c r="AF656" s="201"/>
      <c r="AG656" s="201"/>
      <c r="AH656" s="201"/>
      <c r="AI656" s="201"/>
      <c r="AJ656" s="201"/>
      <c r="AN656" s="201"/>
      <c r="AP656" s="201"/>
      <c r="AT656" s="201"/>
      <c r="AU656" s="201"/>
    </row>
    <row r="657" ht="15.75" customHeight="1">
      <c r="A657" s="200"/>
      <c r="B657" s="201"/>
      <c r="C657" s="201"/>
      <c r="D657" s="201"/>
      <c r="E657" s="201"/>
      <c r="F657" s="201"/>
      <c r="I657" s="201"/>
      <c r="N657" s="201"/>
      <c r="O657" s="201"/>
      <c r="S657" s="201"/>
      <c r="T657" s="201"/>
      <c r="AB657" s="201"/>
      <c r="AC657" s="201"/>
      <c r="AD657" s="201"/>
      <c r="AE657" s="201"/>
      <c r="AF657" s="201"/>
      <c r="AG657" s="201"/>
      <c r="AH657" s="201"/>
      <c r="AI657" s="201"/>
      <c r="AJ657" s="201"/>
      <c r="AN657" s="201"/>
      <c r="AP657" s="201"/>
      <c r="AT657" s="201"/>
      <c r="AU657" s="201"/>
    </row>
    <row r="658" ht="15.75" customHeight="1">
      <c r="A658" s="200"/>
      <c r="B658" s="201"/>
      <c r="C658" s="201"/>
      <c r="D658" s="201"/>
      <c r="E658" s="201"/>
      <c r="F658" s="201"/>
      <c r="I658" s="201"/>
      <c r="N658" s="201"/>
      <c r="O658" s="201"/>
      <c r="S658" s="201"/>
      <c r="T658" s="201"/>
      <c r="AB658" s="201"/>
      <c r="AC658" s="201"/>
      <c r="AD658" s="201"/>
      <c r="AE658" s="201"/>
      <c r="AF658" s="201"/>
      <c r="AG658" s="201"/>
      <c r="AH658" s="201"/>
      <c r="AI658" s="201"/>
      <c r="AJ658" s="201"/>
      <c r="AN658" s="201"/>
      <c r="AP658" s="201"/>
      <c r="AT658" s="201"/>
      <c r="AU658" s="201"/>
    </row>
    <row r="659" ht="15.75" customHeight="1">
      <c r="A659" s="200"/>
      <c r="B659" s="201"/>
      <c r="C659" s="201"/>
      <c r="D659" s="201"/>
      <c r="E659" s="201"/>
      <c r="F659" s="201"/>
      <c r="I659" s="201"/>
      <c r="N659" s="201"/>
      <c r="O659" s="201"/>
      <c r="S659" s="201"/>
      <c r="T659" s="201"/>
      <c r="AB659" s="201"/>
      <c r="AC659" s="201"/>
      <c r="AD659" s="201"/>
      <c r="AE659" s="201"/>
      <c r="AF659" s="201"/>
      <c r="AG659" s="201"/>
      <c r="AH659" s="201"/>
      <c r="AI659" s="201"/>
      <c r="AJ659" s="201"/>
      <c r="AN659" s="201"/>
      <c r="AP659" s="201"/>
      <c r="AT659" s="201"/>
      <c r="AU659" s="201"/>
    </row>
    <row r="660" ht="15.75" customHeight="1">
      <c r="A660" s="200"/>
      <c r="B660" s="201"/>
      <c r="C660" s="201"/>
      <c r="D660" s="201"/>
      <c r="E660" s="201"/>
      <c r="F660" s="201"/>
      <c r="I660" s="201"/>
      <c r="N660" s="201"/>
      <c r="O660" s="201"/>
      <c r="S660" s="201"/>
      <c r="T660" s="201"/>
      <c r="AB660" s="201"/>
      <c r="AC660" s="201"/>
      <c r="AD660" s="201"/>
      <c r="AE660" s="201"/>
      <c r="AF660" s="201"/>
      <c r="AG660" s="201"/>
      <c r="AH660" s="201"/>
      <c r="AI660" s="201"/>
      <c r="AJ660" s="201"/>
      <c r="AN660" s="201"/>
      <c r="AP660" s="201"/>
      <c r="AT660" s="201"/>
      <c r="AU660" s="201"/>
    </row>
    <row r="661" ht="15.75" customHeight="1">
      <c r="A661" s="200"/>
      <c r="B661" s="201"/>
      <c r="C661" s="201"/>
      <c r="D661" s="201"/>
      <c r="E661" s="201"/>
      <c r="F661" s="201"/>
      <c r="I661" s="201"/>
      <c r="N661" s="201"/>
      <c r="O661" s="201"/>
      <c r="S661" s="201"/>
      <c r="T661" s="201"/>
      <c r="AB661" s="201"/>
      <c r="AC661" s="201"/>
      <c r="AD661" s="201"/>
      <c r="AE661" s="201"/>
      <c r="AF661" s="201"/>
      <c r="AG661" s="201"/>
      <c r="AH661" s="201"/>
      <c r="AI661" s="201"/>
      <c r="AJ661" s="201"/>
      <c r="AN661" s="201"/>
      <c r="AP661" s="201"/>
      <c r="AT661" s="201"/>
      <c r="AU661" s="201"/>
    </row>
    <row r="662" ht="15.75" customHeight="1">
      <c r="A662" s="200"/>
      <c r="B662" s="201"/>
      <c r="C662" s="201"/>
      <c r="D662" s="201"/>
      <c r="E662" s="201"/>
      <c r="F662" s="201"/>
      <c r="I662" s="201"/>
      <c r="N662" s="201"/>
      <c r="O662" s="201"/>
      <c r="S662" s="201"/>
      <c r="T662" s="201"/>
      <c r="AB662" s="201"/>
      <c r="AC662" s="201"/>
      <c r="AD662" s="201"/>
      <c r="AE662" s="201"/>
      <c r="AF662" s="201"/>
      <c r="AG662" s="201"/>
      <c r="AH662" s="201"/>
      <c r="AI662" s="201"/>
      <c r="AJ662" s="201"/>
      <c r="AN662" s="201"/>
      <c r="AP662" s="201"/>
      <c r="AT662" s="201"/>
      <c r="AU662" s="201"/>
    </row>
    <row r="663" ht="15.75" customHeight="1">
      <c r="A663" s="200"/>
      <c r="B663" s="201"/>
      <c r="C663" s="201"/>
      <c r="D663" s="201"/>
      <c r="E663" s="201"/>
      <c r="F663" s="201"/>
      <c r="I663" s="201"/>
      <c r="N663" s="201"/>
      <c r="O663" s="201"/>
      <c r="S663" s="201"/>
      <c r="T663" s="201"/>
      <c r="AB663" s="201"/>
      <c r="AC663" s="201"/>
      <c r="AD663" s="201"/>
      <c r="AE663" s="201"/>
      <c r="AF663" s="201"/>
      <c r="AG663" s="201"/>
      <c r="AH663" s="201"/>
      <c r="AI663" s="201"/>
      <c r="AJ663" s="201"/>
      <c r="AN663" s="201"/>
      <c r="AP663" s="201"/>
      <c r="AT663" s="201"/>
      <c r="AU663" s="201"/>
    </row>
    <row r="664" ht="15.75" customHeight="1">
      <c r="A664" s="200"/>
      <c r="B664" s="201"/>
      <c r="C664" s="201"/>
      <c r="D664" s="201"/>
      <c r="E664" s="201"/>
      <c r="F664" s="201"/>
      <c r="I664" s="201"/>
      <c r="N664" s="201"/>
      <c r="O664" s="201"/>
      <c r="S664" s="201"/>
      <c r="T664" s="201"/>
      <c r="AB664" s="201"/>
      <c r="AC664" s="201"/>
      <c r="AD664" s="201"/>
      <c r="AE664" s="201"/>
      <c r="AF664" s="201"/>
      <c r="AG664" s="201"/>
      <c r="AH664" s="201"/>
      <c r="AI664" s="201"/>
      <c r="AJ664" s="201"/>
      <c r="AN664" s="201"/>
      <c r="AP664" s="201"/>
      <c r="AT664" s="201"/>
      <c r="AU664" s="201"/>
    </row>
    <row r="665" ht="15.75" customHeight="1">
      <c r="A665" s="200"/>
      <c r="B665" s="201"/>
      <c r="C665" s="201"/>
      <c r="D665" s="201"/>
      <c r="E665" s="201"/>
      <c r="F665" s="201"/>
      <c r="I665" s="201"/>
      <c r="N665" s="201"/>
      <c r="O665" s="201"/>
      <c r="S665" s="201"/>
      <c r="T665" s="201"/>
      <c r="AB665" s="201"/>
      <c r="AC665" s="201"/>
      <c r="AD665" s="201"/>
      <c r="AE665" s="201"/>
      <c r="AF665" s="201"/>
      <c r="AG665" s="201"/>
      <c r="AH665" s="201"/>
      <c r="AI665" s="201"/>
      <c r="AJ665" s="201"/>
      <c r="AN665" s="201"/>
      <c r="AP665" s="201"/>
      <c r="AT665" s="201"/>
      <c r="AU665" s="201"/>
    </row>
    <row r="666" ht="15.75" customHeight="1">
      <c r="A666" s="200"/>
      <c r="B666" s="201"/>
      <c r="C666" s="201"/>
      <c r="D666" s="201"/>
      <c r="E666" s="201"/>
      <c r="F666" s="201"/>
      <c r="I666" s="201"/>
      <c r="N666" s="201"/>
      <c r="O666" s="201"/>
      <c r="S666" s="201"/>
      <c r="T666" s="201"/>
      <c r="AB666" s="201"/>
      <c r="AC666" s="201"/>
      <c r="AD666" s="201"/>
      <c r="AE666" s="201"/>
      <c r="AF666" s="201"/>
      <c r="AG666" s="201"/>
      <c r="AH666" s="201"/>
      <c r="AI666" s="201"/>
      <c r="AJ666" s="201"/>
      <c r="AN666" s="201"/>
      <c r="AP666" s="201"/>
      <c r="AT666" s="201"/>
      <c r="AU666" s="201"/>
    </row>
    <row r="667" ht="15.75" customHeight="1">
      <c r="A667" s="200"/>
      <c r="B667" s="201"/>
      <c r="C667" s="201"/>
      <c r="D667" s="201"/>
      <c r="E667" s="201"/>
      <c r="F667" s="201"/>
      <c r="I667" s="201"/>
      <c r="N667" s="201"/>
      <c r="O667" s="201"/>
      <c r="S667" s="201"/>
      <c r="T667" s="201"/>
      <c r="AB667" s="201"/>
      <c r="AC667" s="201"/>
      <c r="AD667" s="201"/>
      <c r="AE667" s="201"/>
      <c r="AF667" s="201"/>
      <c r="AG667" s="201"/>
      <c r="AH667" s="201"/>
      <c r="AI667" s="201"/>
      <c r="AJ667" s="201"/>
      <c r="AN667" s="201"/>
      <c r="AP667" s="201"/>
      <c r="AT667" s="201"/>
      <c r="AU667" s="201"/>
    </row>
    <row r="668" ht="15.75" customHeight="1">
      <c r="A668" s="200"/>
      <c r="B668" s="201"/>
      <c r="C668" s="201"/>
      <c r="D668" s="201"/>
      <c r="E668" s="201"/>
      <c r="F668" s="201"/>
      <c r="I668" s="201"/>
      <c r="N668" s="201"/>
      <c r="O668" s="201"/>
      <c r="S668" s="201"/>
      <c r="T668" s="201"/>
      <c r="AB668" s="201"/>
      <c r="AC668" s="201"/>
      <c r="AD668" s="201"/>
      <c r="AE668" s="201"/>
      <c r="AF668" s="201"/>
      <c r="AG668" s="201"/>
      <c r="AH668" s="201"/>
      <c r="AI668" s="201"/>
      <c r="AJ668" s="201"/>
      <c r="AN668" s="201"/>
      <c r="AP668" s="201"/>
      <c r="AT668" s="201"/>
      <c r="AU668" s="201"/>
    </row>
    <row r="669" ht="15.75" customHeight="1">
      <c r="A669" s="200"/>
      <c r="B669" s="201"/>
      <c r="C669" s="201"/>
      <c r="D669" s="201"/>
      <c r="E669" s="201"/>
      <c r="F669" s="201"/>
      <c r="I669" s="201"/>
      <c r="N669" s="201"/>
      <c r="O669" s="201"/>
      <c r="S669" s="201"/>
      <c r="T669" s="201"/>
      <c r="AB669" s="201"/>
      <c r="AC669" s="201"/>
      <c r="AD669" s="201"/>
      <c r="AE669" s="201"/>
      <c r="AF669" s="201"/>
      <c r="AG669" s="201"/>
      <c r="AH669" s="201"/>
      <c r="AI669" s="201"/>
      <c r="AJ669" s="201"/>
      <c r="AN669" s="201"/>
      <c r="AP669" s="201"/>
      <c r="AT669" s="201"/>
      <c r="AU669" s="201"/>
    </row>
    <row r="670" ht="15.75" customHeight="1">
      <c r="A670" s="200"/>
      <c r="B670" s="201"/>
      <c r="C670" s="201"/>
      <c r="D670" s="201"/>
      <c r="E670" s="201"/>
      <c r="F670" s="201"/>
      <c r="I670" s="201"/>
      <c r="N670" s="201"/>
      <c r="O670" s="201"/>
      <c r="S670" s="201"/>
      <c r="T670" s="201"/>
      <c r="AB670" s="201"/>
      <c r="AC670" s="201"/>
      <c r="AD670" s="201"/>
      <c r="AE670" s="201"/>
      <c r="AF670" s="201"/>
      <c r="AG670" s="201"/>
      <c r="AH670" s="201"/>
      <c r="AI670" s="201"/>
      <c r="AJ670" s="201"/>
      <c r="AN670" s="201"/>
      <c r="AP670" s="201"/>
      <c r="AT670" s="201"/>
      <c r="AU670" s="201"/>
    </row>
    <row r="671" ht="15.75" customHeight="1">
      <c r="A671" s="200"/>
      <c r="B671" s="201"/>
      <c r="C671" s="201"/>
      <c r="D671" s="201"/>
      <c r="E671" s="201"/>
      <c r="F671" s="201"/>
      <c r="I671" s="201"/>
      <c r="N671" s="201"/>
      <c r="O671" s="201"/>
      <c r="S671" s="201"/>
      <c r="T671" s="201"/>
      <c r="AB671" s="201"/>
      <c r="AC671" s="201"/>
      <c r="AD671" s="201"/>
      <c r="AE671" s="201"/>
      <c r="AF671" s="201"/>
      <c r="AG671" s="201"/>
      <c r="AH671" s="201"/>
      <c r="AI671" s="201"/>
      <c r="AJ671" s="201"/>
      <c r="AN671" s="201"/>
      <c r="AP671" s="201"/>
      <c r="AT671" s="201"/>
      <c r="AU671" s="201"/>
    </row>
    <row r="672" ht="15.75" customHeight="1">
      <c r="A672" s="200"/>
      <c r="B672" s="201"/>
      <c r="C672" s="201"/>
      <c r="D672" s="201"/>
      <c r="E672" s="201"/>
      <c r="F672" s="201"/>
      <c r="I672" s="201"/>
      <c r="N672" s="201"/>
      <c r="O672" s="201"/>
      <c r="S672" s="201"/>
      <c r="T672" s="201"/>
      <c r="AB672" s="201"/>
      <c r="AC672" s="201"/>
      <c r="AD672" s="201"/>
      <c r="AE672" s="201"/>
      <c r="AF672" s="201"/>
      <c r="AG672" s="201"/>
      <c r="AH672" s="201"/>
      <c r="AI672" s="201"/>
      <c r="AJ672" s="201"/>
      <c r="AN672" s="201"/>
      <c r="AP672" s="201"/>
      <c r="AT672" s="201"/>
      <c r="AU672" s="201"/>
    </row>
    <row r="673" ht="15.75" customHeight="1">
      <c r="A673" s="200"/>
      <c r="B673" s="201"/>
      <c r="C673" s="201"/>
      <c r="D673" s="201"/>
      <c r="E673" s="201"/>
      <c r="F673" s="201"/>
      <c r="I673" s="201"/>
      <c r="N673" s="201"/>
      <c r="O673" s="201"/>
      <c r="S673" s="201"/>
      <c r="T673" s="201"/>
      <c r="AB673" s="201"/>
      <c r="AC673" s="201"/>
      <c r="AD673" s="201"/>
      <c r="AE673" s="201"/>
      <c r="AF673" s="201"/>
      <c r="AG673" s="201"/>
      <c r="AH673" s="201"/>
      <c r="AI673" s="201"/>
      <c r="AJ673" s="201"/>
      <c r="AN673" s="201"/>
      <c r="AP673" s="201"/>
      <c r="AT673" s="201"/>
      <c r="AU673" s="201"/>
    </row>
    <row r="674" ht="15.75" customHeight="1">
      <c r="A674" s="200"/>
      <c r="B674" s="201"/>
      <c r="C674" s="201"/>
      <c r="D674" s="201"/>
      <c r="E674" s="201"/>
      <c r="F674" s="201"/>
      <c r="I674" s="201"/>
      <c r="N674" s="201"/>
      <c r="O674" s="201"/>
      <c r="S674" s="201"/>
      <c r="T674" s="201"/>
      <c r="AB674" s="201"/>
      <c r="AC674" s="201"/>
      <c r="AD674" s="201"/>
      <c r="AE674" s="201"/>
      <c r="AF674" s="201"/>
      <c r="AG674" s="201"/>
      <c r="AH674" s="201"/>
      <c r="AI674" s="201"/>
      <c r="AJ674" s="201"/>
      <c r="AN674" s="201"/>
      <c r="AP674" s="201"/>
      <c r="AT674" s="201"/>
      <c r="AU674" s="201"/>
    </row>
    <row r="675" ht="15.75" customHeight="1">
      <c r="A675" s="200"/>
      <c r="B675" s="201"/>
      <c r="C675" s="201"/>
      <c r="D675" s="201"/>
      <c r="E675" s="201"/>
      <c r="F675" s="201"/>
      <c r="I675" s="201"/>
      <c r="N675" s="201"/>
      <c r="O675" s="201"/>
      <c r="S675" s="201"/>
      <c r="T675" s="201"/>
      <c r="AB675" s="201"/>
      <c r="AC675" s="201"/>
      <c r="AD675" s="201"/>
      <c r="AE675" s="201"/>
      <c r="AF675" s="201"/>
      <c r="AG675" s="201"/>
      <c r="AH675" s="201"/>
      <c r="AI675" s="201"/>
      <c r="AJ675" s="201"/>
      <c r="AN675" s="201"/>
      <c r="AP675" s="201"/>
      <c r="AT675" s="201"/>
      <c r="AU675" s="201"/>
    </row>
    <row r="676" ht="15.75" customHeight="1">
      <c r="A676" s="200"/>
      <c r="B676" s="201"/>
      <c r="C676" s="201"/>
      <c r="D676" s="201"/>
      <c r="E676" s="201"/>
      <c r="F676" s="201"/>
      <c r="I676" s="201"/>
      <c r="N676" s="201"/>
      <c r="O676" s="201"/>
      <c r="S676" s="201"/>
      <c r="T676" s="201"/>
      <c r="AB676" s="201"/>
      <c r="AC676" s="201"/>
      <c r="AD676" s="201"/>
      <c r="AE676" s="201"/>
      <c r="AF676" s="201"/>
      <c r="AG676" s="201"/>
      <c r="AH676" s="201"/>
      <c r="AI676" s="201"/>
      <c r="AJ676" s="201"/>
      <c r="AN676" s="201"/>
      <c r="AP676" s="201"/>
      <c r="AT676" s="201"/>
      <c r="AU676" s="201"/>
    </row>
    <row r="677" ht="15.75" customHeight="1">
      <c r="A677" s="200"/>
      <c r="B677" s="201"/>
      <c r="C677" s="201"/>
      <c r="D677" s="201"/>
      <c r="E677" s="201"/>
      <c r="F677" s="201"/>
      <c r="I677" s="201"/>
      <c r="N677" s="201"/>
      <c r="O677" s="201"/>
      <c r="S677" s="201"/>
      <c r="T677" s="201"/>
      <c r="AB677" s="201"/>
      <c r="AC677" s="201"/>
      <c r="AD677" s="201"/>
      <c r="AE677" s="201"/>
      <c r="AF677" s="201"/>
      <c r="AG677" s="201"/>
      <c r="AH677" s="201"/>
      <c r="AI677" s="201"/>
      <c r="AJ677" s="201"/>
      <c r="AN677" s="201"/>
      <c r="AP677" s="201"/>
      <c r="AT677" s="201"/>
      <c r="AU677" s="201"/>
    </row>
    <row r="678" ht="15.75" customHeight="1">
      <c r="A678" s="200"/>
      <c r="B678" s="201"/>
      <c r="C678" s="201"/>
      <c r="D678" s="201"/>
      <c r="E678" s="201"/>
      <c r="F678" s="201"/>
      <c r="I678" s="201"/>
      <c r="N678" s="201"/>
      <c r="O678" s="201"/>
      <c r="S678" s="201"/>
      <c r="T678" s="201"/>
      <c r="AB678" s="201"/>
      <c r="AC678" s="201"/>
      <c r="AD678" s="201"/>
      <c r="AE678" s="201"/>
      <c r="AF678" s="201"/>
      <c r="AG678" s="201"/>
      <c r="AH678" s="201"/>
      <c r="AI678" s="201"/>
      <c r="AJ678" s="201"/>
      <c r="AN678" s="201"/>
      <c r="AP678" s="201"/>
      <c r="AT678" s="201"/>
      <c r="AU678" s="201"/>
    </row>
    <row r="679" ht="15.75" customHeight="1">
      <c r="A679" s="200"/>
      <c r="B679" s="201"/>
      <c r="C679" s="201"/>
      <c r="D679" s="201"/>
      <c r="E679" s="201"/>
      <c r="F679" s="201"/>
      <c r="I679" s="201"/>
      <c r="N679" s="201"/>
      <c r="O679" s="201"/>
      <c r="S679" s="201"/>
      <c r="T679" s="201"/>
      <c r="AB679" s="201"/>
      <c r="AC679" s="201"/>
      <c r="AD679" s="201"/>
      <c r="AE679" s="201"/>
      <c r="AF679" s="201"/>
      <c r="AG679" s="201"/>
      <c r="AH679" s="201"/>
      <c r="AI679" s="201"/>
      <c r="AJ679" s="201"/>
      <c r="AN679" s="201"/>
      <c r="AP679" s="201"/>
      <c r="AT679" s="201"/>
      <c r="AU679" s="201"/>
    </row>
    <row r="680" ht="15.75" customHeight="1">
      <c r="A680" s="200"/>
      <c r="B680" s="201"/>
      <c r="C680" s="201"/>
      <c r="D680" s="201"/>
      <c r="E680" s="201"/>
      <c r="F680" s="201"/>
      <c r="I680" s="201"/>
      <c r="N680" s="201"/>
      <c r="O680" s="201"/>
      <c r="S680" s="201"/>
      <c r="T680" s="201"/>
      <c r="AB680" s="201"/>
      <c r="AC680" s="201"/>
      <c r="AD680" s="201"/>
      <c r="AE680" s="201"/>
      <c r="AF680" s="201"/>
      <c r="AG680" s="201"/>
      <c r="AH680" s="201"/>
      <c r="AI680" s="201"/>
      <c r="AJ680" s="201"/>
      <c r="AN680" s="201"/>
      <c r="AP680" s="201"/>
      <c r="AT680" s="201"/>
      <c r="AU680" s="201"/>
    </row>
    <row r="681" ht="15.75" customHeight="1">
      <c r="A681" s="200"/>
      <c r="B681" s="201"/>
      <c r="C681" s="201"/>
      <c r="D681" s="201"/>
      <c r="E681" s="201"/>
      <c r="F681" s="201"/>
      <c r="I681" s="201"/>
      <c r="N681" s="201"/>
      <c r="O681" s="201"/>
      <c r="S681" s="201"/>
      <c r="T681" s="201"/>
      <c r="AB681" s="201"/>
      <c r="AC681" s="201"/>
      <c r="AD681" s="201"/>
      <c r="AE681" s="201"/>
      <c r="AF681" s="201"/>
      <c r="AG681" s="201"/>
      <c r="AH681" s="201"/>
      <c r="AI681" s="201"/>
      <c r="AJ681" s="201"/>
      <c r="AN681" s="201"/>
      <c r="AP681" s="201"/>
      <c r="AT681" s="201"/>
      <c r="AU681" s="201"/>
    </row>
    <row r="682" ht="15.75" customHeight="1">
      <c r="A682" s="200"/>
      <c r="B682" s="201"/>
      <c r="C682" s="201"/>
      <c r="D682" s="201"/>
      <c r="E682" s="201"/>
      <c r="F682" s="201"/>
      <c r="I682" s="201"/>
      <c r="N682" s="201"/>
      <c r="O682" s="201"/>
      <c r="S682" s="201"/>
      <c r="T682" s="201"/>
      <c r="AB682" s="201"/>
      <c r="AC682" s="201"/>
      <c r="AD682" s="201"/>
      <c r="AE682" s="201"/>
      <c r="AF682" s="201"/>
      <c r="AG682" s="201"/>
      <c r="AH682" s="201"/>
      <c r="AI682" s="201"/>
      <c r="AJ682" s="201"/>
      <c r="AN682" s="201"/>
      <c r="AP682" s="201"/>
      <c r="AT682" s="201"/>
      <c r="AU682" s="201"/>
    </row>
    <row r="683" ht="15.75" customHeight="1">
      <c r="A683" s="200"/>
      <c r="B683" s="201"/>
      <c r="C683" s="201"/>
      <c r="D683" s="201"/>
      <c r="E683" s="201"/>
      <c r="F683" s="201"/>
      <c r="I683" s="201"/>
      <c r="N683" s="201"/>
      <c r="O683" s="201"/>
      <c r="S683" s="201"/>
      <c r="T683" s="201"/>
      <c r="AB683" s="201"/>
      <c r="AC683" s="201"/>
      <c r="AD683" s="201"/>
      <c r="AE683" s="201"/>
      <c r="AF683" s="201"/>
      <c r="AG683" s="201"/>
      <c r="AH683" s="201"/>
      <c r="AI683" s="201"/>
      <c r="AJ683" s="201"/>
      <c r="AN683" s="201"/>
      <c r="AP683" s="201"/>
      <c r="AT683" s="201"/>
      <c r="AU683" s="201"/>
    </row>
    <row r="684" ht="15.75" customHeight="1">
      <c r="A684" s="200"/>
      <c r="B684" s="201"/>
      <c r="C684" s="201"/>
      <c r="D684" s="201"/>
      <c r="E684" s="201"/>
      <c r="F684" s="201"/>
      <c r="I684" s="201"/>
      <c r="N684" s="201"/>
      <c r="O684" s="201"/>
      <c r="S684" s="201"/>
      <c r="T684" s="201"/>
      <c r="AB684" s="201"/>
      <c r="AC684" s="201"/>
      <c r="AD684" s="201"/>
      <c r="AE684" s="201"/>
      <c r="AF684" s="201"/>
      <c r="AG684" s="201"/>
      <c r="AH684" s="201"/>
      <c r="AI684" s="201"/>
      <c r="AJ684" s="201"/>
      <c r="AN684" s="201"/>
      <c r="AP684" s="201"/>
      <c r="AT684" s="201"/>
      <c r="AU684" s="201"/>
    </row>
    <row r="685" ht="15.75" customHeight="1">
      <c r="A685" s="200"/>
      <c r="B685" s="201"/>
      <c r="C685" s="201"/>
      <c r="D685" s="201"/>
      <c r="E685" s="201"/>
      <c r="F685" s="201"/>
      <c r="I685" s="201"/>
      <c r="N685" s="201"/>
      <c r="O685" s="201"/>
      <c r="S685" s="201"/>
      <c r="T685" s="201"/>
      <c r="AB685" s="201"/>
      <c r="AC685" s="201"/>
      <c r="AD685" s="201"/>
      <c r="AE685" s="201"/>
      <c r="AF685" s="201"/>
      <c r="AG685" s="201"/>
      <c r="AH685" s="201"/>
      <c r="AI685" s="201"/>
      <c r="AJ685" s="201"/>
      <c r="AN685" s="201"/>
      <c r="AP685" s="201"/>
      <c r="AT685" s="201"/>
      <c r="AU685" s="201"/>
    </row>
    <row r="686" ht="15.75" customHeight="1">
      <c r="A686" s="200"/>
      <c r="B686" s="201"/>
      <c r="C686" s="201"/>
      <c r="D686" s="201"/>
      <c r="E686" s="201"/>
      <c r="F686" s="201"/>
      <c r="I686" s="201"/>
      <c r="N686" s="201"/>
      <c r="O686" s="201"/>
      <c r="S686" s="201"/>
      <c r="T686" s="201"/>
      <c r="AB686" s="201"/>
      <c r="AC686" s="201"/>
      <c r="AD686" s="201"/>
      <c r="AE686" s="201"/>
      <c r="AF686" s="201"/>
      <c r="AG686" s="201"/>
      <c r="AH686" s="201"/>
      <c r="AI686" s="201"/>
      <c r="AJ686" s="201"/>
      <c r="AN686" s="201"/>
      <c r="AP686" s="201"/>
      <c r="AT686" s="201"/>
      <c r="AU686" s="201"/>
    </row>
    <row r="687" ht="15.75" customHeight="1">
      <c r="A687" s="200"/>
      <c r="B687" s="201"/>
      <c r="C687" s="201"/>
      <c r="D687" s="201"/>
      <c r="E687" s="201"/>
      <c r="F687" s="201"/>
      <c r="I687" s="201"/>
      <c r="N687" s="201"/>
      <c r="O687" s="201"/>
      <c r="S687" s="201"/>
      <c r="T687" s="201"/>
      <c r="AB687" s="201"/>
      <c r="AC687" s="201"/>
      <c r="AD687" s="201"/>
      <c r="AE687" s="201"/>
      <c r="AF687" s="201"/>
      <c r="AG687" s="201"/>
      <c r="AH687" s="201"/>
      <c r="AI687" s="201"/>
      <c r="AJ687" s="201"/>
      <c r="AN687" s="201"/>
      <c r="AP687" s="201"/>
      <c r="AT687" s="201"/>
      <c r="AU687" s="201"/>
    </row>
    <row r="688" ht="15.75" customHeight="1">
      <c r="A688" s="200"/>
      <c r="B688" s="201"/>
      <c r="C688" s="201"/>
      <c r="D688" s="201"/>
      <c r="E688" s="201"/>
      <c r="F688" s="201"/>
      <c r="I688" s="201"/>
      <c r="N688" s="201"/>
      <c r="O688" s="201"/>
      <c r="S688" s="201"/>
      <c r="T688" s="201"/>
      <c r="AB688" s="201"/>
      <c r="AC688" s="201"/>
      <c r="AD688" s="201"/>
      <c r="AE688" s="201"/>
      <c r="AF688" s="201"/>
      <c r="AG688" s="201"/>
      <c r="AH688" s="201"/>
      <c r="AI688" s="201"/>
      <c r="AJ688" s="201"/>
      <c r="AN688" s="201"/>
      <c r="AP688" s="201"/>
      <c r="AT688" s="201"/>
      <c r="AU688" s="201"/>
    </row>
    <row r="689" ht="15.75" customHeight="1">
      <c r="A689" s="200"/>
      <c r="B689" s="201"/>
      <c r="C689" s="201"/>
      <c r="D689" s="201"/>
      <c r="E689" s="201"/>
      <c r="F689" s="201"/>
      <c r="I689" s="201"/>
      <c r="N689" s="201"/>
      <c r="O689" s="201"/>
      <c r="S689" s="201"/>
      <c r="T689" s="201"/>
      <c r="AB689" s="201"/>
      <c r="AC689" s="201"/>
      <c r="AD689" s="201"/>
      <c r="AE689" s="201"/>
      <c r="AF689" s="201"/>
      <c r="AG689" s="201"/>
      <c r="AH689" s="201"/>
      <c r="AI689" s="201"/>
      <c r="AJ689" s="201"/>
      <c r="AN689" s="201"/>
      <c r="AP689" s="201"/>
      <c r="AT689" s="201"/>
      <c r="AU689" s="201"/>
    </row>
    <row r="690" ht="15.75" customHeight="1">
      <c r="A690" s="200"/>
      <c r="B690" s="201"/>
      <c r="C690" s="201"/>
      <c r="D690" s="201"/>
      <c r="E690" s="201"/>
      <c r="F690" s="201"/>
      <c r="I690" s="201"/>
      <c r="N690" s="201"/>
      <c r="O690" s="201"/>
      <c r="S690" s="201"/>
      <c r="T690" s="201"/>
      <c r="AB690" s="201"/>
      <c r="AC690" s="201"/>
      <c r="AD690" s="201"/>
      <c r="AE690" s="201"/>
      <c r="AF690" s="201"/>
      <c r="AG690" s="201"/>
      <c r="AH690" s="201"/>
      <c r="AI690" s="201"/>
      <c r="AJ690" s="201"/>
      <c r="AN690" s="201"/>
      <c r="AP690" s="201"/>
      <c r="AT690" s="201"/>
      <c r="AU690" s="201"/>
    </row>
    <row r="691" ht="15.75" customHeight="1">
      <c r="A691" s="200"/>
      <c r="B691" s="201"/>
      <c r="C691" s="201"/>
      <c r="D691" s="201"/>
      <c r="E691" s="201"/>
      <c r="F691" s="201"/>
      <c r="I691" s="201"/>
      <c r="N691" s="201"/>
      <c r="O691" s="201"/>
      <c r="S691" s="201"/>
      <c r="T691" s="201"/>
      <c r="AB691" s="201"/>
      <c r="AC691" s="201"/>
      <c r="AD691" s="201"/>
      <c r="AE691" s="201"/>
      <c r="AF691" s="201"/>
      <c r="AG691" s="201"/>
      <c r="AH691" s="201"/>
      <c r="AI691" s="201"/>
      <c r="AJ691" s="201"/>
      <c r="AN691" s="201"/>
      <c r="AP691" s="201"/>
      <c r="AT691" s="201"/>
      <c r="AU691" s="201"/>
    </row>
    <row r="692" ht="15.75" customHeight="1">
      <c r="A692" s="200"/>
      <c r="B692" s="201"/>
      <c r="C692" s="201"/>
      <c r="D692" s="201"/>
      <c r="E692" s="201"/>
      <c r="F692" s="201"/>
      <c r="I692" s="201"/>
      <c r="N692" s="201"/>
      <c r="O692" s="201"/>
      <c r="S692" s="201"/>
      <c r="T692" s="201"/>
      <c r="AB692" s="201"/>
      <c r="AC692" s="201"/>
      <c r="AD692" s="201"/>
      <c r="AE692" s="201"/>
      <c r="AF692" s="201"/>
      <c r="AG692" s="201"/>
      <c r="AH692" s="201"/>
      <c r="AI692" s="201"/>
      <c r="AJ692" s="201"/>
      <c r="AN692" s="201"/>
      <c r="AP692" s="201"/>
      <c r="AT692" s="201"/>
      <c r="AU692" s="201"/>
    </row>
    <row r="693" ht="15.75" customHeight="1">
      <c r="A693" s="200"/>
      <c r="B693" s="201"/>
      <c r="C693" s="201"/>
      <c r="D693" s="201"/>
      <c r="E693" s="201"/>
      <c r="F693" s="201"/>
      <c r="I693" s="201"/>
      <c r="N693" s="201"/>
      <c r="O693" s="201"/>
      <c r="S693" s="201"/>
      <c r="T693" s="201"/>
      <c r="AB693" s="201"/>
      <c r="AC693" s="201"/>
      <c r="AD693" s="201"/>
      <c r="AE693" s="201"/>
      <c r="AF693" s="201"/>
      <c r="AG693" s="201"/>
      <c r="AH693" s="201"/>
      <c r="AI693" s="201"/>
      <c r="AJ693" s="201"/>
      <c r="AN693" s="201"/>
      <c r="AP693" s="201"/>
      <c r="AT693" s="201"/>
      <c r="AU693" s="201"/>
    </row>
    <row r="694" ht="15.75" customHeight="1">
      <c r="A694" s="200"/>
      <c r="B694" s="201"/>
      <c r="C694" s="201"/>
      <c r="D694" s="201"/>
      <c r="E694" s="201"/>
      <c r="F694" s="201"/>
      <c r="I694" s="201"/>
      <c r="N694" s="201"/>
      <c r="O694" s="201"/>
      <c r="S694" s="201"/>
      <c r="T694" s="201"/>
      <c r="AB694" s="201"/>
      <c r="AC694" s="201"/>
      <c r="AD694" s="201"/>
      <c r="AE694" s="201"/>
      <c r="AF694" s="201"/>
      <c r="AG694" s="201"/>
      <c r="AH694" s="201"/>
      <c r="AI694" s="201"/>
      <c r="AJ694" s="201"/>
      <c r="AN694" s="201"/>
      <c r="AP694" s="201"/>
      <c r="AT694" s="201"/>
      <c r="AU694" s="201"/>
    </row>
    <row r="695" ht="15.75" customHeight="1">
      <c r="A695" s="200"/>
      <c r="B695" s="201"/>
      <c r="C695" s="201"/>
      <c r="D695" s="201"/>
      <c r="E695" s="201"/>
      <c r="F695" s="201"/>
      <c r="I695" s="201"/>
      <c r="N695" s="201"/>
      <c r="O695" s="201"/>
      <c r="S695" s="201"/>
      <c r="T695" s="201"/>
      <c r="AB695" s="201"/>
      <c r="AC695" s="201"/>
      <c r="AD695" s="201"/>
      <c r="AE695" s="201"/>
      <c r="AF695" s="201"/>
      <c r="AG695" s="201"/>
      <c r="AH695" s="201"/>
      <c r="AI695" s="201"/>
      <c r="AJ695" s="201"/>
      <c r="AN695" s="201"/>
      <c r="AP695" s="201"/>
      <c r="AT695" s="201"/>
      <c r="AU695" s="201"/>
    </row>
    <row r="696" ht="15.75" customHeight="1">
      <c r="A696" s="200"/>
      <c r="B696" s="201"/>
      <c r="C696" s="201"/>
      <c r="D696" s="201"/>
      <c r="E696" s="201"/>
      <c r="F696" s="201"/>
      <c r="I696" s="201"/>
      <c r="N696" s="201"/>
      <c r="O696" s="201"/>
      <c r="S696" s="201"/>
      <c r="T696" s="201"/>
      <c r="AB696" s="201"/>
      <c r="AC696" s="201"/>
      <c r="AD696" s="201"/>
      <c r="AE696" s="201"/>
      <c r="AF696" s="201"/>
      <c r="AG696" s="201"/>
      <c r="AH696" s="201"/>
      <c r="AI696" s="201"/>
      <c r="AJ696" s="201"/>
      <c r="AN696" s="201"/>
      <c r="AP696" s="201"/>
      <c r="AT696" s="201"/>
      <c r="AU696" s="201"/>
    </row>
    <row r="697" ht="15.75" customHeight="1">
      <c r="A697" s="200"/>
      <c r="B697" s="201"/>
      <c r="C697" s="201"/>
      <c r="D697" s="201"/>
      <c r="E697" s="201"/>
      <c r="F697" s="201"/>
      <c r="I697" s="201"/>
      <c r="N697" s="201"/>
      <c r="O697" s="201"/>
      <c r="S697" s="201"/>
      <c r="T697" s="201"/>
      <c r="AB697" s="201"/>
      <c r="AC697" s="201"/>
      <c r="AD697" s="201"/>
      <c r="AE697" s="201"/>
      <c r="AF697" s="201"/>
      <c r="AG697" s="201"/>
      <c r="AH697" s="201"/>
      <c r="AI697" s="201"/>
      <c r="AJ697" s="201"/>
      <c r="AN697" s="201"/>
      <c r="AP697" s="201"/>
      <c r="AT697" s="201"/>
      <c r="AU697" s="201"/>
    </row>
    <row r="698" ht="15.75" customHeight="1">
      <c r="A698" s="200"/>
      <c r="B698" s="201"/>
      <c r="C698" s="201"/>
      <c r="D698" s="201"/>
      <c r="E698" s="201"/>
      <c r="F698" s="201"/>
      <c r="I698" s="201"/>
      <c r="N698" s="201"/>
      <c r="O698" s="201"/>
      <c r="S698" s="201"/>
      <c r="T698" s="201"/>
      <c r="AB698" s="201"/>
      <c r="AC698" s="201"/>
      <c r="AD698" s="201"/>
      <c r="AE698" s="201"/>
      <c r="AF698" s="201"/>
      <c r="AG698" s="201"/>
      <c r="AH698" s="201"/>
      <c r="AI698" s="201"/>
      <c r="AJ698" s="201"/>
      <c r="AN698" s="201"/>
      <c r="AP698" s="201"/>
      <c r="AT698" s="201"/>
      <c r="AU698" s="201"/>
    </row>
    <row r="699" ht="15.75" customHeight="1">
      <c r="A699" s="200"/>
      <c r="B699" s="201"/>
      <c r="C699" s="201"/>
      <c r="D699" s="201"/>
      <c r="E699" s="201"/>
      <c r="F699" s="201"/>
      <c r="I699" s="201"/>
      <c r="N699" s="201"/>
      <c r="O699" s="201"/>
      <c r="S699" s="201"/>
      <c r="T699" s="201"/>
      <c r="AB699" s="201"/>
      <c r="AC699" s="201"/>
      <c r="AD699" s="201"/>
      <c r="AE699" s="201"/>
      <c r="AF699" s="201"/>
      <c r="AG699" s="201"/>
      <c r="AH699" s="201"/>
      <c r="AI699" s="201"/>
      <c r="AJ699" s="201"/>
      <c r="AN699" s="201"/>
      <c r="AP699" s="201"/>
      <c r="AT699" s="201"/>
      <c r="AU699" s="201"/>
    </row>
    <row r="700" ht="15.75" customHeight="1">
      <c r="A700" s="200"/>
      <c r="B700" s="201"/>
      <c r="C700" s="201"/>
      <c r="D700" s="201"/>
      <c r="E700" s="201"/>
      <c r="F700" s="201"/>
      <c r="I700" s="201"/>
      <c r="N700" s="201"/>
      <c r="O700" s="201"/>
      <c r="S700" s="201"/>
      <c r="T700" s="201"/>
      <c r="AB700" s="201"/>
      <c r="AC700" s="201"/>
      <c r="AD700" s="201"/>
      <c r="AE700" s="201"/>
      <c r="AF700" s="201"/>
      <c r="AG700" s="201"/>
      <c r="AH700" s="201"/>
      <c r="AI700" s="201"/>
      <c r="AJ700" s="201"/>
      <c r="AN700" s="201"/>
      <c r="AP700" s="201"/>
      <c r="AT700" s="201"/>
      <c r="AU700" s="201"/>
    </row>
    <row r="701" ht="15.75" customHeight="1">
      <c r="A701" s="200"/>
      <c r="B701" s="201"/>
      <c r="C701" s="201"/>
      <c r="D701" s="201"/>
      <c r="E701" s="201"/>
      <c r="F701" s="201"/>
      <c r="I701" s="201"/>
      <c r="N701" s="201"/>
      <c r="O701" s="201"/>
      <c r="S701" s="201"/>
      <c r="T701" s="201"/>
      <c r="AB701" s="201"/>
      <c r="AC701" s="201"/>
      <c r="AD701" s="201"/>
      <c r="AE701" s="201"/>
      <c r="AF701" s="201"/>
      <c r="AG701" s="201"/>
      <c r="AH701" s="201"/>
      <c r="AI701" s="201"/>
      <c r="AJ701" s="201"/>
      <c r="AN701" s="201"/>
      <c r="AP701" s="201"/>
      <c r="AT701" s="201"/>
      <c r="AU701" s="201"/>
    </row>
    <row r="702" ht="15.75" customHeight="1">
      <c r="A702" s="200"/>
      <c r="B702" s="201"/>
      <c r="C702" s="201"/>
      <c r="D702" s="201"/>
      <c r="E702" s="201"/>
      <c r="F702" s="201"/>
      <c r="I702" s="201"/>
      <c r="N702" s="201"/>
      <c r="O702" s="201"/>
      <c r="S702" s="201"/>
      <c r="T702" s="201"/>
      <c r="AB702" s="201"/>
      <c r="AC702" s="201"/>
      <c r="AD702" s="201"/>
      <c r="AE702" s="201"/>
      <c r="AF702" s="201"/>
      <c r="AG702" s="201"/>
      <c r="AH702" s="201"/>
      <c r="AI702" s="201"/>
      <c r="AJ702" s="201"/>
      <c r="AN702" s="201"/>
      <c r="AP702" s="201"/>
      <c r="AT702" s="201"/>
      <c r="AU702" s="201"/>
    </row>
    <row r="703" ht="15.75" customHeight="1">
      <c r="A703" s="200"/>
      <c r="B703" s="201"/>
      <c r="C703" s="201"/>
      <c r="D703" s="201"/>
      <c r="E703" s="201"/>
      <c r="F703" s="201"/>
      <c r="I703" s="201"/>
      <c r="N703" s="201"/>
      <c r="O703" s="201"/>
      <c r="S703" s="201"/>
      <c r="T703" s="201"/>
      <c r="AB703" s="201"/>
      <c r="AC703" s="201"/>
      <c r="AD703" s="201"/>
      <c r="AE703" s="201"/>
      <c r="AF703" s="201"/>
      <c r="AG703" s="201"/>
      <c r="AH703" s="201"/>
      <c r="AI703" s="201"/>
      <c r="AJ703" s="201"/>
      <c r="AN703" s="201"/>
      <c r="AP703" s="201"/>
      <c r="AT703" s="201"/>
      <c r="AU703" s="201"/>
    </row>
    <row r="704" ht="15.75" customHeight="1">
      <c r="A704" s="200"/>
      <c r="B704" s="201"/>
      <c r="C704" s="201"/>
      <c r="D704" s="201"/>
      <c r="E704" s="201"/>
      <c r="F704" s="201"/>
      <c r="I704" s="201"/>
      <c r="N704" s="201"/>
      <c r="O704" s="201"/>
      <c r="S704" s="201"/>
      <c r="T704" s="201"/>
      <c r="AB704" s="201"/>
      <c r="AC704" s="201"/>
      <c r="AD704" s="201"/>
      <c r="AE704" s="201"/>
      <c r="AF704" s="201"/>
      <c r="AG704" s="201"/>
      <c r="AH704" s="201"/>
      <c r="AI704" s="201"/>
      <c r="AJ704" s="201"/>
      <c r="AN704" s="201"/>
      <c r="AP704" s="201"/>
      <c r="AT704" s="201"/>
      <c r="AU704" s="201"/>
    </row>
    <row r="705" ht="15.75" customHeight="1">
      <c r="A705" s="200"/>
      <c r="B705" s="201"/>
      <c r="C705" s="201"/>
      <c r="D705" s="201"/>
      <c r="E705" s="201"/>
      <c r="F705" s="201"/>
      <c r="I705" s="201"/>
      <c r="N705" s="201"/>
      <c r="O705" s="201"/>
      <c r="S705" s="201"/>
      <c r="T705" s="201"/>
      <c r="AB705" s="201"/>
      <c r="AC705" s="201"/>
      <c r="AD705" s="201"/>
      <c r="AE705" s="201"/>
      <c r="AF705" s="201"/>
      <c r="AG705" s="201"/>
      <c r="AH705" s="201"/>
      <c r="AI705" s="201"/>
      <c r="AJ705" s="201"/>
      <c r="AN705" s="201"/>
      <c r="AP705" s="201"/>
      <c r="AT705" s="201"/>
      <c r="AU705" s="201"/>
    </row>
    <row r="706" ht="15.75" customHeight="1">
      <c r="A706" s="200"/>
      <c r="B706" s="201"/>
      <c r="C706" s="201"/>
      <c r="D706" s="201"/>
      <c r="E706" s="201"/>
      <c r="F706" s="201"/>
      <c r="I706" s="201"/>
      <c r="N706" s="201"/>
      <c r="O706" s="201"/>
      <c r="S706" s="201"/>
      <c r="T706" s="201"/>
      <c r="AB706" s="201"/>
      <c r="AC706" s="201"/>
      <c r="AD706" s="201"/>
      <c r="AE706" s="201"/>
      <c r="AF706" s="201"/>
      <c r="AG706" s="201"/>
      <c r="AH706" s="201"/>
      <c r="AI706" s="201"/>
      <c r="AJ706" s="201"/>
      <c r="AN706" s="201"/>
      <c r="AP706" s="201"/>
      <c r="AT706" s="201"/>
      <c r="AU706" s="201"/>
    </row>
    <row r="707" ht="15.75" customHeight="1">
      <c r="A707" s="200"/>
      <c r="B707" s="201"/>
      <c r="C707" s="201"/>
      <c r="D707" s="201"/>
      <c r="E707" s="201"/>
      <c r="F707" s="201"/>
      <c r="I707" s="201"/>
      <c r="N707" s="201"/>
      <c r="O707" s="201"/>
      <c r="S707" s="201"/>
      <c r="T707" s="201"/>
      <c r="AB707" s="201"/>
      <c r="AC707" s="201"/>
      <c r="AD707" s="201"/>
      <c r="AE707" s="201"/>
      <c r="AF707" s="201"/>
      <c r="AG707" s="201"/>
      <c r="AH707" s="201"/>
      <c r="AI707" s="201"/>
      <c r="AJ707" s="201"/>
      <c r="AN707" s="201"/>
      <c r="AP707" s="201"/>
      <c r="AT707" s="201"/>
      <c r="AU707" s="201"/>
    </row>
    <row r="708" ht="15.75" customHeight="1">
      <c r="A708" s="200"/>
      <c r="B708" s="201"/>
      <c r="C708" s="201"/>
      <c r="D708" s="201"/>
      <c r="E708" s="201"/>
      <c r="F708" s="201"/>
      <c r="I708" s="201"/>
      <c r="N708" s="201"/>
      <c r="O708" s="201"/>
      <c r="S708" s="201"/>
      <c r="T708" s="201"/>
      <c r="AB708" s="201"/>
      <c r="AC708" s="201"/>
      <c r="AD708" s="201"/>
      <c r="AE708" s="201"/>
      <c r="AF708" s="201"/>
      <c r="AG708" s="201"/>
      <c r="AH708" s="201"/>
      <c r="AI708" s="201"/>
      <c r="AJ708" s="201"/>
      <c r="AN708" s="201"/>
      <c r="AP708" s="201"/>
      <c r="AT708" s="201"/>
      <c r="AU708" s="201"/>
    </row>
    <row r="709" ht="15.75" customHeight="1">
      <c r="A709" s="200"/>
      <c r="B709" s="201"/>
      <c r="C709" s="201"/>
      <c r="D709" s="201"/>
      <c r="E709" s="201"/>
      <c r="F709" s="201"/>
      <c r="I709" s="201"/>
      <c r="N709" s="201"/>
      <c r="O709" s="201"/>
      <c r="S709" s="201"/>
      <c r="T709" s="201"/>
      <c r="AB709" s="201"/>
      <c r="AC709" s="201"/>
      <c r="AD709" s="201"/>
      <c r="AE709" s="201"/>
      <c r="AF709" s="201"/>
      <c r="AG709" s="201"/>
      <c r="AH709" s="201"/>
      <c r="AI709" s="201"/>
      <c r="AJ709" s="201"/>
      <c r="AN709" s="201"/>
      <c r="AP709" s="201"/>
      <c r="AT709" s="201"/>
      <c r="AU709" s="201"/>
    </row>
    <row r="710" ht="15.75" customHeight="1">
      <c r="A710" s="200"/>
      <c r="B710" s="201"/>
      <c r="C710" s="201"/>
      <c r="D710" s="201"/>
      <c r="E710" s="201"/>
      <c r="F710" s="201"/>
      <c r="I710" s="201"/>
      <c r="N710" s="201"/>
      <c r="O710" s="201"/>
      <c r="S710" s="201"/>
      <c r="T710" s="201"/>
      <c r="AB710" s="201"/>
      <c r="AC710" s="201"/>
      <c r="AD710" s="201"/>
      <c r="AE710" s="201"/>
      <c r="AF710" s="201"/>
      <c r="AG710" s="201"/>
      <c r="AH710" s="201"/>
      <c r="AI710" s="201"/>
      <c r="AJ710" s="201"/>
      <c r="AN710" s="201"/>
      <c r="AP710" s="201"/>
      <c r="AT710" s="201"/>
      <c r="AU710" s="201"/>
    </row>
    <row r="711" ht="15.75" customHeight="1">
      <c r="A711" s="200"/>
      <c r="B711" s="201"/>
      <c r="C711" s="201"/>
      <c r="D711" s="201"/>
      <c r="E711" s="201"/>
      <c r="F711" s="201"/>
      <c r="I711" s="201"/>
      <c r="N711" s="201"/>
      <c r="O711" s="201"/>
      <c r="S711" s="201"/>
      <c r="T711" s="201"/>
      <c r="AB711" s="201"/>
      <c r="AC711" s="201"/>
      <c r="AD711" s="201"/>
      <c r="AE711" s="201"/>
      <c r="AF711" s="201"/>
      <c r="AG711" s="201"/>
      <c r="AH711" s="201"/>
      <c r="AI711" s="201"/>
      <c r="AJ711" s="201"/>
      <c r="AN711" s="201"/>
      <c r="AP711" s="201"/>
      <c r="AT711" s="201"/>
      <c r="AU711" s="201"/>
    </row>
    <row r="712" ht="15.75" customHeight="1">
      <c r="A712" s="200"/>
      <c r="B712" s="201"/>
      <c r="C712" s="201"/>
      <c r="D712" s="201"/>
      <c r="E712" s="201"/>
      <c r="F712" s="201"/>
      <c r="I712" s="201"/>
      <c r="N712" s="201"/>
      <c r="O712" s="201"/>
      <c r="S712" s="201"/>
      <c r="T712" s="201"/>
      <c r="AB712" s="201"/>
      <c r="AC712" s="201"/>
      <c r="AD712" s="201"/>
      <c r="AE712" s="201"/>
      <c r="AF712" s="201"/>
      <c r="AG712" s="201"/>
      <c r="AH712" s="201"/>
      <c r="AI712" s="201"/>
      <c r="AJ712" s="201"/>
      <c r="AN712" s="201"/>
      <c r="AP712" s="201"/>
      <c r="AT712" s="201"/>
      <c r="AU712" s="201"/>
    </row>
    <row r="713" ht="15.75" customHeight="1">
      <c r="A713" s="200"/>
      <c r="B713" s="201"/>
      <c r="C713" s="201"/>
      <c r="D713" s="201"/>
      <c r="E713" s="201"/>
      <c r="F713" s="201"/>
      <c r="I713" s="201"/>
      <c r="N713" s="201"/>
      <c r="O713" s="201"/>
      <c r="S713" s="201"/>
      <c r="T713" s="201"/>
      <c r="AB713" s="201"/>
      <c r="AC713" s="201"/>
      <c r="AD713" s="201"/>
      <c r="AE713" s="201"/>
      <c r="AF713" s="201"/>
      <c r="AG713" s="201"/>
      <c r="AH713" s="201"/>
      <c r="AI713" s="201"/>
      <c r="AJ713" s="201"/>
      <c r="AN713" s="201"/>
      <c r="AP713" s="201"/>
      <c r="AT713" s="201"/>
      <c r="AU713" s="201"/>
    </row>
    <row r="714" ht="15.75" customHeight="1">
      <c r="A714" s="200"/>
      <c r="B714" s="201"/>
      <c r="C714" s="201"/>
      <c r="D714" s="201"/>
      <c r="E714" s="201"/>
      <c r="F714" s="201"/>
      <c r="I714" s="201"/>
      <c r="N714" s="201"/>
      <c r="O714" s="201"/>
      <c r="S714" s="201"/>
      <c r="T714" s="201"/>
      <c r="AB714" s="201"/>
      <c r="AC714" s="201"/>
      <c r="AD714" s="201"/>
      <c r="AE714" s="201"/>
      <c r="AF714" s="201"/>
      <c r="AG714" s="201"/>
      <c r="AH714" s="201"/>
      <c r="AI714" s="201"/>
      <c r="AJ714" s="201"/>
      <c r="AN714" s="201"/>
      <c r="AP714" s="201"/>
      <c r="AT714" s="201"/>
      <c r="AU714" s="201"/>
    </row>
    <row r="715" ht="15.75" customHeight="1">
      <c r="A715" s="200"/>
      <c r="B715" s="201"/>
      <c r="C715" s="201"/>
      <c r="D715" s="201"/>
      <c r="E715" s="201"/>
      <c r="F715" s="201"/>
      <c r="I715" s="201"/>
      <c r="N715" s="201"/>
      <c r="O715" s="201"/>
      <c r="S715" s="201"/>
      <c r="T715" s="201"/>
      <c r="AB715" s="201"/>
      <c r="AC715" s="201"/>
      <c r="AD715" s="201"/>
      <c r="AE715" s="201"/>
      <c r="AF715" s="201"/>
      <c r="AG715" s="201"/>
      <c r="AH715" s="201"/>
      <c r="AI715" s="201"/>
      <c r="AJ715" s="201"/>
      <c r="AN715" s="201"/>
      <c r="AP715" s="201"/>
      <c r="AT715" s="201"/>
      <c r="AU715" s="201"/>
    </row>
    <row r="716" ht="15.75" customHeight="1">
      <c r="A716" s="200"/>
      <c r="B716" s="201"/>
      <c r="C716" s="201"/>
      <c r="D716" s="201"/>
      <c r="E716" s="201"/>
      <c r="F716" s="201"/>
      <c r="I716" s="201"/>
      <c r="N716" s="201"/>
      <c r="O716" s="201"/>
      <c r="S716" s="201"/>
      <c r="T716" s="201"/>
      <c r="AB716" s="201"/>
      <c r="AC716" s="201"/>
      <c r="AD716" s="201"/>
      <c r="AE716" s="201"/>
      <c r="AF716" s="201"/>
      <c r="AG716" s="201"/>
      <c r="AH716" s="201"/>
      <c r="AI716" s="201"/>
      <c r="AJ716" s="201"/>
      <c r="AN716" s="201"/>
      <c r="AP716" s="201"/>
      <c r="AT716" s="201"/>
      <c r="AU716" s="201"/>
    </row>
    <row r="717" ht="15.75" customHeight="1">
      <c r="A717" s="200"/>
      <c r="B717" s="201"/>
      <c r="C717" s="201"/>
      <c r="D717" s="201"/>
      <c r="E717" s="201"/>
      <c r="F717" s="201"/>
      <c r="I717" s="201"/>
      <c r="N717" s="201"/>
      <c r="O717" s="201"/>
      <c r="S717" s="201"/>
      <c r="T717" s="201"/>
      <c r="AB717" s="201"/>
      <c r="AC717" s="201"/>
      <c r="AD717" s="201"/>
      <c r="AE717" s="201"/>
      <c r="AF717" s="201"/>
      <c r="AG717" s="201"/>
      <c r="AH717" s="201"/>
      <c r="AI717" s="201"/>
      <c r="AJ717" s="201"/>
      <c r="AN717" s="201"/>
      <c r="AP717" s="201"/>
      <c r="AT717" s="201"/>
      <c r="AU717" s="201"/>
    </row>
    <row r="718" ht="15.75" customHeight="1">
      <c r="A718" s="200"/>
      <c r="B718" s="201"/>
      <c r="C718" s="201"/>
      <c r="D718" s="201"/>
      <c r="E718" s="201"/>
      <c r="F718" s="201"/>
      <c r="I718" s="201"/>
      <c r="N718" s="201"/>
      <c r="O718" s="201"/>
      <c r="S718" s="201"/>
      <c r="T718" s="201"/>
      <c r="AB718" s="201"/>
      <c r="AC718" s="201"/>
      <c r="AD718" s="201"/>
      <c r="AE718" s="201"/>
      <c r="AF718" s="201"/>
      <c r="AG718" s="201"/>
      <c r="AH718" s="201"/>
      <c r="AI718" s="201"/>
      <c r="AJ718" s="201"/>
      <c r="AN718" s="201"/>
      <c r="AP718" s="201"/>
      <c r="AT718" s="201"/>
      <c r="AU718" s="201"/>
    </row>
    <row r="719" ht="15.75" customHeight="1">
      <c r="A719" s="200"/>
      <c r="B719" s="201"/>
      <c r="C719" s="201"/>
      <c r="D719" s="201"/>
      <c r="E719" s="201"/>
      <c r="F719" s="201"/>
      <c r="I719" s="201"/>
      <c r="N719" s="201"/>
      <c r="O719" s="201"/>
      <c r="S719" s="201"/>
      <c r="T719" s="201"/>
      <c r="AB719" s="201"/>
      <c r="AC719" s="201"/>
      <c r="AD719" s="201"/>
      <c r="AE719" s="201"/>
      <c r="AF719" s="201"/>
      <c r="AG719" s="201"/>
      <c r="AH719" s="201"/>
      <c r="AI719" s="201"/>
      <c r="AJ719" s="201"/>
      <c r="AN719" s="201"/>
      <c r="AP719" s="201"/>
      <c r="AT719" s="201"/>
      <c r="AU719" s="201"/>
    </row>
    <row r="720" ht="15.75" customHeight="1">
      <c r="A720" s="200"/>
      <c r="B720" s="201"/>
      <c r="C720" s="201"/>
      <c r="D720" s="201"/>
      <c r="E720" s="201"/>
      <c r="F720" s="201"/>
      <c r="I720" s="201"/>
      <c r="N720" s="201"/>
      <c r="O720" s="201"/>
      <c r="S720" s="201"/>
      <c r="T720" s="201"/>
      <c r="AB720" s="201"/>
      <c r="AC720" s="201"/>
      <c r="AD720" s="201"/>
      <c r="AE720" s="201"/>
      <c r="AF720" s="201"/>
      <c r="AG720" s="201"/>
      <c r="AH720" s="201"/>
      <c r="AI720" s="201"/>
      <c r="AJ720" s="201"/>
      <c r="AN720" s="201"/>
      <c r="AP720" s="201"/>
      <c r="AT720" s="201"/>
      <c r="AU720" s="201"/>
    </row>
    <row r="721" ht="15.75" customHeight="1">
      <c r="A721" s="200"/>
      <c r="B721" s="201"/>
      <c r="C721" s="201"/>
      <c r="D721" s="201"/>
      <c r="E721" s="201"/>
      <c r="F721" s="201"/>
      <c r="I721" s="201"/>
      <c r="N721" s="201"/>
      <c r="O721" s="201"/>
      <c r="S721" s="201"/>
      <c r="T721" s="201"/>
      <c r="AB721" s="201"/>
      <c r="AC721" s="201"/>
      <c r="AD721" s="201"/>
      <c r="AE721" s="201"/>
      <c r="AF721" s="201"/>
      <c r="AG721" s="201"/>
      <c r="AH721" s="201"/>
      <c r="AI721" s="201"/>
      <c r="AJ721" s="201"/>
      <c r="AN721" s="201"/>
      <c r="AP721" s="201"/>
      <c r="AT721" s="201"/>
      <c r="AU721" s="201"/>
    </row>
    <row r="722" ht="15.75" customHeight="1">
      <c r="A722" s="200"/>
      <c r="B722" s="201"/>
      <c r="C722" s="201"/>
      <c r="D722" s="201"/>
      <c r="E722" s="201"/>
      <c r="F722" s="201"/>
      <c r="I722" s="201"/>
      <c r="N722" s="201"/>
      <c r="O722" s="201"/>
      <c r="S722" s="201"/>
      <c r="T722" s="201"/>
      <c r="AB722" s="201"/>
      <c r="AC722" s="201"/>
      <c r="AD722" s="201"/>
      <c r="AE722" s="201"/>
      <c r="AF722" s="201"/>
      <c r="AG722" s="201"/>
      <c r="AH722" s="201"/>
      <c r="AI722" s="201"/>
      <c r="AJ722" s="201"/>
      <c r="AN722" s="201"/>
      <c r="AP722" s="201"/>
      <c r="AT722" s="201"/>
      <c r="AU722" s="201"/>
    </row>
    <row r="723" ht="15.75" customHeight="1">
      <c r="A723" s="200"/>
      <c r="B723" s="201"/>
      <c r="C723" s="201"/>
      <c r="D723" s="201"/>
      <c r="E723" s="201"/>
      <c r="F723" s="201"/>
      <c r="I723" s="201"/>
      <c r="N723" s="201"/>
      <c r="O723" s="201"/>
      <c r="S723" s="201"/>
      <c r="T723" s="201"/>
      <c r="AB723" s="201"/>
      <c r="AC723" s="201"/>
      <c r="AD723" s="201"/>
      <c r="AE723" s="201"/>
      <c r="AF723" s="201"/>
      <c r="AG723" s="201"/>
      <c r="AH723" s="201"/>
      <c r="AI723" s="201"/>
      <c r="AJ723" s="201"/>
      <c r="AN723" s="201"/>
      <c r="AP723" s="201"/>
      <c r="AT723" s="201"/>
      <c r="AU723" s="201"/>
    </row>
    <row r="724" ht="15.75" customHeight="1">
      <c r="A724" s="200"/>
      <c r="B724" s="201"/>
      <c r="C724" s="201"/>
      <c r="D724" s="201"/>
      <c r="E724" s="201"/>
      <c r="F724" s="201"/>
      <c r="I724" s="201"/>
      <c r="N724" s="201"/>
      <c r="O724" s="201"/>
      <c r="S724" s="201"/>
      <c r="T724" s="201"/>
      <c r="AB724" s="201"/>
      <c r="AC724" s="201"/>
      <c r="AD724" s="201"/>
      <c r="AE724" s="201"/>
      <c r="AF724" s="201"/>
      <c r="AG724" s="201"/>
      <c r="AH724" s="201"/>
      <c r="AI724" s="201"/>
      <c r="AJ724" s="201"/>
      <c r="AN724" s="201"/>
      <c r="AP724" s="201"/>
      <c r="AT724" s="201"/>
      <c r="AU724" s="201"/>
    </row>
    <row r="725" ht="15.75" customHeight="1">
      <c r="A725" s="200"/>
      <c r="B725" s="201"/>
      <c r="C725" s="201"/>
      <c r="D725" s="201"/>
      <c r="E725" s="201"/>
      <c r="F725" s="201"/>
      <c r="I725" s="201"/>
      <c r="N725" s="201"/>
      <c r="O725" s="201"/>
      <c r="S725" s="201"/>
      <c r="T725" s="201"/>
      <c r="AB725" s="201"/>
      <c r="AC725" s="201"/>
      <c r="AD725" s="201"/>
      <c r="AE725" s="201"/>
      <c r="AF725" s="201"/>
      <c r="AG725" s="201"/>
      <c r="AH725" s="201"/>
      <c r="AI725" s="201"/>
      <c r="AJ725" s="201"/>
      <c r="AN725" s="201"/>
      <c r="AP725" s="201"/>
      <c r="AT725" s="201"/>
      <c r="AU725" s="201"/>
    </row>
    <row r="726" ht="15.75" customHeight="1">
      <c r="A726" s="200"/>
      <c r="B726" s="201"/>
      <c r="C726" s="201"/>
      <c r="D726" s="201"/>
      <c r="E726" s="201"/>
      <c r="F726" s="201"/>
      <c r="I726" s="201"/>
      <c r="N726" s="201"/>
      <c r="O726" s="201"/>
      <c r="S726" s="201"/>
      <c r="T726" s="201"/>
      <c r="AB726" s="201"/>
      <c r="AC726" s="201"/>
      <c r="AD726" s="201"/>
      <c r="AE726" s="201"/>
      <c r="AF726" s="201"/>
      <c r="AG726" s="201"/>
      <c r="AH726" s="201"/>
      <c r="AI726" s="201"/>
      <c r="AJ726" s="201"/>
      <c r="AN726" s="201"/>
      <c r="AP726" s="201"/>
      <c r="AT726" s="201"/>
      <c r="AU726" s="201"/>
    </row>
    <row r="727" ht="15.75" customHeight="1">
      <c r="A727" s="200"/>
      <c r="B727" s="201"/>
      <c r="C727" s="201"/>
      <c r="D727" s="201"/>
      <c r="E727" s="201"/>
      <c r="F727" s="201"/>
      <c r="I727" s="201"/>
      <c r="N727" s="201"/>
      <c r="O727" s="201"/>
      <c r="S727" s="201"/>
      <c r="T727" s="201"/>
      <c r="AB727" s="201"/>
      <c r="AC727" s="201"/>
      <c r="AD727" s="201"/>
      <c r="AE727" s="201"/>
      <c r="AF727" s="201"/>
      <c r="AG727" s="201"/>
      <c r="AH727" s="201"/>
      <c r="AI727" s="201"/>
      <c r="AJ727" s="201"/>
      <c r="AN727" s="201"/>
      <c r="AP727" s="201"/>
      <c r="AT727" s="201"/>
      <c r="AU727" s="201"/>
    </row>
    <row r="728" ht="15.75" customHeight="1">
      <c r="A728" s="200"/>
      <c r="B728" s="201"/>
      <c r="C728" s="201"/>
      <c r="D728" s="201"/>
      <c r="E728" s="201"/>
      <c r="F728" s="201"/>
      <c r="I728" s="201"/>
      <c r="N728" s="201"/>
      <c r="O728" s="201"/>
      <c r="S728" s="201"/>
      <c r="T728" s="201"/>
      <c r="AB728" s="201"/>
      <c r="AC728" s="201"/>
      <c r="AD728" s="201"/>
      <c r="AE728" s="201"/>
      <c r="AF728" s="201"/>
      <c r="AG728" s="201"/>
      <c r="AH728" s="201"/>
      <c r="AI728" s="201"/>
      <c r="AJ728" s="201"/>
      <c r="AN728" s="201"/>
      <c r="AP728" s="201"/>
      <c r="AT728" s="201"/>
      <c r="AU728" s="201"/>
    </row>
    <row r="729" ht="15.75" customHeight="1">
      <c r="A729" s="200"/>
      <c r="B729" s="201"/>
      <c r="C729" s="201"/>
      <c r="D729" s="201"/>
      <c r="E729" s="201"/>
      <c r="F729" s="201"/>
      <c r="I729" s="201"/>
      <c r="N729" s="201"/>
      <c r="O729" s="201"/>
      <c r="S729" s="201"/>
      <c r="T729" s="201"/>
      <c r="AB729" s="201"/>
      <c r="AC729" s="201"/>
      <c r="AD729" s="201"/>
      <c r="AE729" s="201"/>
      <c r="AF729" s="201"/>
      <c r="AG729" s="201"/>
      <c r="AH729" s="201"/>
      <c r="AI729" s="201"/>
      <c r="AJ729" s="201"/>
      <c r="AN729" s="201"/>
      <c r="AP729" s="201"/>
      <c r="AT729" s="201"/>
      <c r="AU729" s="201"/>
    </row>
    <row r="730" ht="15.75" customHeight="1">
      <c r="A730" s="200"/>
      <c r="B730" s="201"/>
      <c r="C730" s="201"/>
      <c r="D730" s="201"/>
      <c r="E730" s="201"/>
      <c r="F730" s="201"/>
      <c r="I730" s="201"/>
      <c r="N730" s="201"/>
      <c r="O730" s="201"/>
      <c r="S730" s="201"/>
      <c r="T730" s="201"/>
      <c r="AB730" s="201"/>
      <c r="AC730" s="201"/>
      <c r="AD730" s="201"/>
      <c r="AE730" s="201"/>
      <c r="AF730" s="201"/>
      <c r="AG730" s="201"/>
      <c r="AH730" s="201"/>
      <c r="AI730" s="201"/>
      <c r="AJ730" s="201"/>
      <c r="AN730" s="201"/>
      <c r="AP730" s="201"/>
      <c r="AT730" s="201"/>
      <c r="AU730" s="201"/>
    </row>
    <row r="731" ht="15.75" customHeight="1">
      <c r="A731" s="200"/>
      <c r="B731" s="201"/>
      <c r="C731" s="201"/>
      <c r="D731" s="201"/>
      <c r="E731" s="201"/>
      <c r="F731" s="201"/>
      <c r="I731" s="201"/>
      <c r="N731" s="201"/>
      <c r="O731" s="201"/>
      <c r="S731" s="201"/>
      <c r="T731" s="201"/>
      <c r="AB731" s="201"/>
      <c r="AC731" s="201"/>
      <c r="AD731" s="201"/>
      <c r="AE731" s="201"/>
      <c r="AF731" s="201"/>
      <c r="AG731" s="201"/>
      <c r="AH731" s="201"/>
      <c r="AI731" s="201"/>
      <c r="AJ731" s="201"/>
      <c r="AN731" s="201"/>
      <c r="AP731" s="201"/>
      <c r="AT731" s="201"/>
      <c r="AU731" s="201"/>
    </row>
    <row r="732" ht="15.75" customHeight="1">
      <c r="A732" s="200"/>
      <c r="B732" s="201"/>
      <c r="C732" s="201"/>
      <c r="D732" s="201"/>
      <c r="E732" s="201"/>
      <c r="F732" s="201"/>
      <c r="I732" s="201"/>
      <c r="N732" s="201"/>
      <c r="O732" s="201"/>
      <c r="S732" s="201"/>
      <c r="T732" s="201"/>
      <c r="AB732" s="201"/>
      <c r="AC732" s="201"/>
      <c r="AD732" s="201"/>
      <c r="AE732" s="201"/>
      <c r="AF732" s="201"/>
      <c r="AG732" s="201"/>
      <c r="AH732" s="201"/>
      <c r="AI732" s="201"/>
      <c r="AJ732" s="201"/>
      <c r="AN732" s="201"/>
      <c r="AP732" s="201"/>
      <c r="AT732" s="201"/>
      <c r="AU732" s="201"/>
    </row>
    <row r="733" ht="15.75" customHeight="1">
      <c r="A733" s="200"/>
      <c r="B733" s="201"/>
      <c r="C733" s="201"/>
      <c r="D733" s="201"/>
      <c r="E733" s="201"/>
      <c r="F733" s="201"/>
      <c r="I733" s="201"/>
      <c r="N733" s="201"/>
      <c r="O733" s="201"/>
      <c r="S733" s="201"/>
      <c r="T733" s="201"/>
      <c r="AB733" s="201"/>
      <c r="AC733" s="201"/>
      <c r="AD733" s="201"/>
      <c r="AE733" s="201"/>
      <c r="AF733" s="201"/>
      <c r="AG733" s="201"/>
      <c r="AH733" s="201"/>
      <c r="AI733" s="201"/>
      <c r="AJ733" s="201"/>
      <c r="AN733" s="201"/>
      <c r="AP733" s="201"/>
      <c r="AT733" s="201"/>
      <c r="AU733" s="201"/>
    </row>
    <row r="734" ht="15.75" customHeight="1">
      <c r="A734" s="200"/>
      <c r="B734" s="201"/>
      <c r="C734" s="201"/>
      <c r="D734" s="201"/>
      <c r="E734" s="201"/>
      <c r="F734" s="201"/>
      <c r="I734" s="201"/>
      <c r="N734" s="201"/>
      <c r="O734" s="201"/>
      <c r="S734" s="201"/>
      <c r="T734" s="201"/>
      <c r="AB734" s="201"/>
      <c r="AC734" s="201"/>
      <c r="AD734" s="201"/>
      <c r="AE734" s="201"/>
      <c r="AF734" s="201"/>
      <c r="AG734" s="201"/>
      <c r="AH734" s="201"/>
      <c r="AI734" s="201"/>
      <c r="AJ734" s="201"/>
      <c r="AN734" s="201"/>
      <c r="AP734" s="201"/>
      <c r="AT734" s="201"/>
      <c r="AU734" s="201"/>
    </row>
    <row r="735" ht="15.75" customHeight="1">
      <c r="A735" s="200"/>
      <c r="B735" s="201"/>
      <c r="C735" s="201"/>
      <c r="D735" s="201"/>
      <c r="E735" s="201"/>
      <c r="F735" s="201"/>
      <c r="I735" s="201"/>
      <c r="N735" s="201"/>
      <c r="O735" s="201"/>
      <c r="S735" s="201"/>
      <c r="T735" s="201"/>
      <c r="AB735" s="201"/>
      <c r="AC735" s="201"/>
      <c r="AD735" s="201"/>
      <c r="AE735" s="201"/>
      <c r="AF735" s="201"/>
      <c r="AG735" s="201"/>
      <c r="AH735" s="201"/>
      <c r="AI735" s="201"/>
      <c r="AJ735" s="201"/>
      <c r="AN735" s="201"/>
      <c r="AP735" s="201"/>
      <c r="AT735" s="201"/>
      <c r="AU735" s="201"/>
    </row>
    <row r="736" ht="15.75" customHeight="1">
      <c r="A736" s="200"/>
      <c r="B736" s="201"/>
      <c r="C736" s="201"/>
      <c r="D736" s="201"/>
      <c r="E736" s="201"/>
      <c r="F736" s="201"/>
      <c r="I736" s="201"/>
      <c r="N736" s="201"/>
      <c r="O736" s="201"/>
      <c r="S736" s="201"/>
      <c r="T736" s="201"/>
      <c r="AB736" s="201"/>
      <c r="AC736" s="201"/>
      <c r="AD736" s="201"/>
      <c r="AE736" s="201"/>
      <c r="AF736" s="201"/>
      <c r="AG736" s="201"/>
      <c r="AH736" s="201"/>
      <c r="AI736" s="201"/>
      <c r="AJ736" s="201"/>
      <c r="AN736" s="201"/>
      <c r="AP736" s="201"/>
      <c r="AT736" s="201"/>
      <c r="AU736" s="201"/>
    </row>
    <row r="737" ht="15.75" customHeight="1">
      <c r="A737" s="200"/>
      <c r="B737" s="201"/>
      <c r="C737" s="201"/>
      <c r="D737" s="201"/>
      <c r="E737" s="201"/>
      <c r="F737" s="201"/>
      <c r="I737" s="201"/>
      <c r="N737" s="201"/>
      <c r="O737" s="201"/>
      <c r="S737" s="201"/>
      <c r="T737" s="201"/>
      <c r="AB737" s="201"/>
      <c r="AC737" s="201"/>
      <c r="AD737" s="201"/>
      <c r="AE737" s="201"/>
      <c r="AF737" s="201"/>
      <c r="AG737" s="201"/>
      <c r="AH737" s="201"/>
      <c r="AI737" s="201"/>
      <c r="AJ737" s="201"/>
      <c r="AN737" s="201"/>
      <c r="AP737" s="201"/>
      <c r="AT737" s="201"/>
      <c r="AU737" s="201"/>
    </row>
    <row r="738" ht="15.75" customHeight="1">
      <c r="A738" s="200"/>
      <c r="B738" s="201"/>
      <c r="C738" s="201"/>
      <c r="D738" s="201"/>
      <c r="E738" s="201"/>
      <c r="F738" s="201"/>
      <c r="I738" s="201"/>
      <c r="N738" s="201"/>
      <c r="O738" s="201"/>
      <c r="S738" s="201"/>
      <c r="T738" s="201"/>
      <c r="AB738" s="201"/>
      <c r="AC738" s="201"/>
      <c r="AD738" s="201"/>
      <c r="AE738" s="201"/>
      <c r="AF738" s="201"/>
      <c r="AG738" s="201"/>
      <c r="AH738" s="201"/>
      <c r="AI738" s="201"/>
      <c r="AJ738" s="201"/>
      <c r="AN738" s="201"/>
      <c r="AP738" s="201"/>
      <c r="AT738" s="201"/>
      <c r="AU738" s="201"/>
    </row>
    <row r="739" ht="15.75" customHeight="1">
      <c r="A739" s="200"/>
      <c r="B739" s="201"/>
      <c r="C739" s="201"/>
      <c r="D739" s="201"/>
      <c r="E739" s="201"/>
      <c r="F739" s="201"/>
      <c r="I739" s="201"/>
      <c r="N739" s="201"/>
      <c r="O739" s="201"/>
      <c r="S739" s="201"/>
      <c r="T739" s="201"/>
      <c r="AB739" s="201"/>
      <c r="AC739" s="201"/>
      <c r="AD739" s="201"/>
      <c r="AE739" s="201"/>
      <c r="AF739" s="201"/>
      <c r="AG739" s="201"/>
      <c r="AH739" s="201"/>
      <c r="AI739" s="201"/>
      <c r="AJ739" s="201"/>
      <c r="AN739" s="201"/>
      <c r="AP739" s="201"/>
      <c r="AT739" s="201"/>
      <c r="AU739" s="201"/>
    </row>
    <row r="740" ht="15.75" customHeight="1">
      <c r="A740" s="200"/>
      <c r="B740" s="201"/>
      <c r="C740" s="201"/>
      <c r="D740" s="201"/>
      <c r="E740" s="201"/>
      <c r="F740" s="201"/>
      <c r="I740" s="201"/>
      <c r="N740" s="201"/>
      <c r="O740" s="201"/>
      <c r="S740" s="201"/>
      <c r="T740" s="201"/>
      <c r="AB740" s="201"/>
      <c r="AC740" s="201"/>
      <c r="AD740" s="201"/>
      <c r="AE740" s="201"/>
      <c r="AF740" s="201"/>
      <c r="AG740" s="201"/>
      <c r="AH740" s="201"/>
      <c r="AI740" s="201"/>
      <c r="AJ740" s="201"/>
      <c r="AN740" s="201"/>
      <c r="AP740" s="201"/>
      <c r="AT740" s="201"/>
      <c r="AU740" s="201"/>
    </row>
    <row r="741" ht="15.75" customHeight="1">
      <c r="A741" s="200"/>
      <c r="B741" s="201"/>
      <c r="C741" s="201"/>
      <c r="D741" s="201"/>
      <c r="E741" s="201"/>
      <c r="F741" s="201"/>
      <c r="I741" s="201"/>
      <c r="N741" s="201"/>
      <c r="O741" s="201"/>
      <c r="S741" s="201"/>
      <c r="T741" s="201"/>
      <c r="AB741" s="201"/>
      <c r="AC741" s="201"/>
      <c r="AD741" s="201"/>
      <c r="AE741" s="201"/>
      <c r="AF741" s="201"/>
      <c r="AG741" s="201"/>
      <c r="AH741" s="201"/>
      <c r="AI741" s="201"/>
      <c r="AJ741" s="201"/>
      <c r="AN741" s="201"/>
      <c r="AP741" s="201"/>
      <c r="AT741" s="201"/>
      <c r="AU741" s="201"/>
    </row>
    <row r="742" ht="15.75" customHeight="1">
      <c r="A742" s="200"/>
      <c r="B742" s="201"/>
      <c r="C742" s="201"/>
      <c r="D742" s="201"/>
      <c r="E742" s="201"/>
      <c r="F742" s="201"/>
      <c r="I742" s="201"/>
      <c r="N742" s="201"/>
      <c r="O742" s="201"/>
      <c r="S742" s="201"/>
      <c r="T742" s="201"/>
      <c r="AB742" s="201"/>
      <c r="AC742" s="201"/>
      <c r="AD742" s="201"/>
      <c r="AE742" s="201"/>
      <c r="AF742" s="201"/>
      <c r="AG742" s="201"/>
      <c r="AH742" s="201"/>
      <c r="AI742" s="201"/>
      <c r="AJ742" s="201"/>
      <c r="AN742" s="201"/>
      <c r="AP742" s="201"/>
      <c r="AT742" s="201"/>
      <c r="AU742" s="201"/>
    </row>
    <row r="743" ht="15.75" customHeight="1">
      <c r="A743" s="200"/>
      <c r="B743" s="201"/>
      <c r="C743" s="201"/>
      <c r="D743" s="201"/>
      <c r="E743" s="201"/>
      <c r="F743" s="201"/>
      <c r="I743" s="201"/>
      <c r="N743" s="201"/>
      <c r="O743" s="201"/>
      <c r="S743" s="201"/>
      <c r="T743" s="201"/>
      <c r="AB743" s="201"/>
      <c r="AC743" s="201"/>
      <c r="AD743" s="201"/>
      <c r="AE743" s="201"/>
      <c r="AF743" s="201"/>
      <c r="AG743" s="201"/>
      <c r="AH743" s="201"/>
      <c r="AI743" s="201"/>
      <c r="AJ743" s="201"/>
      <c r="AN743" s="201"/>
      <c r="AP743" s="201"/>
      <c r="AT743" s="201"/>
      <c r="AU743" s="201"/>
    </row>
    <row r="744" ht="15.75" customHeight="1">
      <c r="A744" s="200"/>
      <c r="B744" s="201"/>
      <c r="C744" s="201"/>
      <c r="D744" s="201"/>
      <c r="E744" s="201"/>
      <c r="F744" s="201"/>
      <c r="I744" s="201"/>
      <c r="N744" s="201"/>
      <c r="O744" s="201"/>
      <c r="S744" s="201"/>
      <c r="T744" s="201"/>
      <c r="AB744" s="201"/>
      <c r="AC744" s="201"/>
      <c r="AD744" s="201"/>
      <c r="AE744" s="201"/>
      <c r="AF744" s="201"/>
      <c r="AG744" s="201"/>
      <c r="AH744" s="201"/>
      <c r="AI744" s="201"/>
      <c r="AJ744" s="201"/>
      <c r="AN744" s="201"/>
      <c r="AP744" s="201"/>
      <c r="AT744" s="201"/>
      <c r="AU744" s="201"/>
    </row>
    <row r="745" ht="15.75" customHeight="1">
      <c r="A745" s="200"/>
      <c r="B745" s="201"/>
      <c r="C745" s="201"/>
      <c r="D745" s="201"/>
      <c r="E745" s="201"/>
      <c r="F745" s="201"/>
      <c r="I745" s="201"/>
      <c r="N745" s="201"/>
      <c r="O745" s="201"/>
      <c r="S745" s="201"/>
      <c r="T745" s="201"/>
      <c r="AB745" s="201"/>
      <c r="AC745" s="201"/>
      <c r="AD745" s="201"/>
      <c r="AE745" s="201"/>
      <c r="AF745" s="201"/>
      <c r="AG745" s="201"/>
      <c r="AH745" s="201"/>
      <c r="AI745" s="201"/>
      <c r="AJ745" s="201"/>
      <c r="AN745" s="201"/>
      <c r="AP745" s="201"/>
      <c r="AT745" s="201"/>
      <c r="AU745" s="201"/>
    </row>
    <row r="746" ht="15.75" customHeight="1">
      <c r="A746" s="200"/>
      <c r="B746" s="201"/>
      <c r="C746" s="201"/>
      <c r="D746" s="201"/>
      <c r="E746" s="201"/>
      <c r="F746" s="201"/>
      <c r="I746" s="201"/>
      <c r="N746" s="201"/>
      <c r="O746" s="201"/>
      <c r="S746" s="201"/>
      <c r="T746" s="201"/>
      <c r="AB746" s="201"/>
      <c r="AC746" s="201"/>
      <c r="AD746" s="201"/>
      <c r="AE746" s="201"/>
      <c r="AF746" s="201"/>
      <c r="AG746" s="201"/>
      <c r="AH746" s="201"/>
      <c r="AI746" s="201"/>
      <c r="AJ746" s="201"/>
      <c r="AN746" s="201"/>
      <c r="AP746" s="201"/>
      <c r="AT746" s="201"/>
      <c r="AU746" s="201"/>
    </row>
    <row r="747" ht="15.75" customHeight="1">
      <c r="A747" s="200"/>
      <c r="B747" s="201"/>
      <c r="C747" s="201"/>
      <c r="D747" s="201"/>
      <c r="E747" s="201"/>
      <c r="F747" s="201"/>
      <c r="I747" s="201"/>
      <c r="N747" s="201"/>
      <c r="O747" s="201"/>
      <c r="S747" s="201"/>
      <c r="T747" s="201"/>
      <c r="AB747" s="201"/>
      <c r="AC747" s="201"/>
      <c r="AD747" s="201"/>
      <c r="AE747" s="201"/>
      <c r="AF747" s="201"/>
      <c r="AG747" s="201"/>
      <c r="AH747" s="201"/>
      <c r="AI747" s="201"/>
      <c r="AJ747" s="201"/>
      <c r="AN747" s="201"/>
      <c r="AP747" s="201"/>
      <c r="AT747" s="201"/>
      <c r="AU747" s="201"/>
    </row>
    <row r="748" ht="15.75" customHeight="1">
      <c r="A748" s="200"/>
      <c r="B748" s="201"/>
      <c r="C748" s="201"/>
      <c r="D748" s="201"/>
      <c r="E748" s="201"/>
      <c r="F748" s="201"/>
      <c r="I748" s="201"/>
      <c r="N748" s="201"/>
      <c r="O748" s="201"/>
      <c r="S748" s="201"/>
      <c r="T748" s="201"/>
      <c r="AB748" s="201"/>
      <c r="AC748" s="201"/>
      <c r="AD748" s="201"/>
      <c r="AE748" s="201"/>
      <c r="AF748" s="201"/>
      <c r="AG748" s="201"/>
      <c r="AH748" s="201"/>
      <c r="AI748" s="201"/>
      <c r="AJ748" s="201"/>
      <c r="AN748" s="201"/>
      <c r="AP748" s="201"/>
      <c r="AT748" s="201"/>
      <c r="AU748" s="201"/>
    </row>
    <row r="749" ht="15.75" customHeight="1">
      <c r="A749" s="200"/>
      <c r="B749" s="201"/>
      <c r="C749" s="201"/>
      <c r="D749" s="201"/>
      <c r="E749" s="201"/>
      <c r="F749" s="201"/>
      <c r="I749" s="201"/>
      <c r="N749" s="201"/>
      <c r="O749" s="201"/>
      <c r="S749" s="201"/>
      <c r="T749" s="201"/>
      <c r="AB749" s="201"/>
      <c r="AC749" s="201"/>
      <c r="AD749" s="201"/>
      <c r="AE749" s="201"/>
      <c r="AF749" s="201"/>
      <c r="AG749" s="201"/>
      <c r="AH749" s="201"/>
      <c r="AI749" s="201"/>
      <c r="AJ749" s="201"/>
      <c r="AN749" s="201"/>
      <c r="AP749" s="201"/>
      <c r="AT749" s="201"/>
      <c r="AU749" s="201"/>
    </row>
    <row r="750" ht="15.75" customHeight="1">
      <c r="A750" s="200"/>
      <c r="B750" s="201"/>
      <c r="C750" s="201"/>
      <c r="D750" s="201"/>
      <c r="E750" s="201"/>
      <c r="F750" s="201"/>
      <c r="I750" s="201"/>
      <c r="N750" s="201"/>
      <c r="O750" s="201"/>
      <c r="S750" s="201"/>
      <c r="T750" s="201"/>
      <c r="AB750" s="201"/>
      <c r="AC750" s="201"/>
      <c r="AD750" s="201"/>
      <c r="AE750" s="201"/>
      <c r="AF750" s="201"/>
      <c r="AG750" s="201"/>
      <c r="AH750" s="201"/>
      <c r="AI750" s="201"/>
      <c r="AJ750" s="201"/>
      <c r="AN750" s="201"/>
      <c r="AP750" s="201"/>
      <c r="AT750" s="201"/>
      <c r="AU750" s="201"/>
    </row>
    <row r="751" ht="15.75" customHeight="1">
      <c r="A751" s="200"/>
      <c r="B751" s="201"/>
      <c r="C751" s="201"/>
      <c r="D751" s="201"/>
      <c r="E751" s="201"/>
      <c r="F751" s="201"/>
      <c r="I751" s="201"/>
      <c r="N751" s="201"/>
      <c r="O751" s="201"/>
      <c r="S751" s="201"/>
      <c r="T751" s="201"/>
      <c r="AB751" s="201"/>
      <c r="AC751" s="201"/>
      <c r="AD751" s="201"/>
      <c r="AE751" s="201"/>
      <c r="AF751" s="201"/>
      <c r="AG751" s="201"/>
      <c r="AH751" s="201"/>
      <c r="AI751" s="201"/>
      <c r="AJ751" s="201"/>
      <c r="AN751" s="201"/>
      <c r="AP751" s="201"/>
      <c r="AT751" s="201"/>
      <c r="AU751" s="201"/>
    </row>
    <row r="752" ht="15.75" customHeight="1">
      <c r="A752" s="200"/>
      <c r="B752" s="201"/>
      <c r="C752" s="201"/>
      <c r="D752" s="201"/>
      <c r="E752" s="201"/>
      <c r="F752" s="201"/>
      <c r="I752" s="201"/>
      <c r="N752" s="201"/>
      <c r="O752" s="201"/>
      <c r="S752" s="201"/>
      <c r="T752" s="201"/>
      <c r="AB752" s="201"/>
      <c r="AC752" s="201"/>
      <c r="AD752" s="201"/>
      <c r="AE752" s="201"/>
      <c r="AF752" s="201"/>
      <c r="AG752" s="201"/>
      <c r="AH752" s="201"/>
      <c r="AI752" s="201"/>
      <c r="AJ752" s="201"/>
      <c r="AN752" s="201"/>
      <c r="AP752" s="201"/>
      <c r="AT752" s="201"/>
      <c r="AU752" s="201"/>
    </row>
    <row r="753" ht="15.75" customHeight="1">
      <c r="A753" s="200"/>
      <c r="B753" s="201"/>
      <c r="C753" s="201"/>
      <c r="D753" s="201"/>
      <c r="E753" s="201"/>
      <c r="F753" s="201"/>
      <c r="I753" s="201"/>
      <c r="N753" s="201"/>
      <c r="O753" s="201"/>
      <c r="S753" s="201"/>
      <c r="T753" s="201"/>
      <c r="AB753" s="201"/>
      <c r="AC753" s="201"/>
      <c r="AD753" s="201"/>
      <c r="AE753" s="201"/>
      <c r="AF753" s="201"/>
      <c r="AG753" s="201"/>
      <c r="AH753" s="201"/>
      <c r="AI753" s="201"/>
      <c r="AJ753" s="201"/>
      <c r="AN753" s="201"/>
      <c r="AP753" s="201"/>
      <c r="AT753" s="201"/>
      <c r="AU753" s="201"/>
    </row>
    <row r="754" ht="15.75" customHeight="1">
      <c r="A754" s="200"/>
      <c r="B754" s="201"/>
      <c r="C754" s="201"/>
      <c r="D754" s="201"/>
      <c r="E754" s="201"/>
      <c r="F754" s="201"/>
      <c r="I754" s="201"/>
      <c r="N754" s="201"/>
      <c r="O754" s="201"/>
      <c r="S754" s="201"/>
      <c r="T754" s="201"/>
      <c r="AB754" s="201"/>
      <c r="AC754" s="201"/>
      <c r="AD754" s="201"/>
      <c r="AE754" s="201"/>
      <c r="AF754" s="201"/>
      <c r="AG754" s="201"/>
      <c r="AH754" s="201"/>
      <c r="AI754" s="201"/>
      <c r="AJ754" s="201"/>
      <c r="AN754" s="201"/>
      <c r="AP754" s="201"/>
      <c r="AT754" s="201"/>
      <c r="AU754" s="201"/>
    </row>
    <row r="755" ht="15.75" customHeight="1">
      <c r="A755" s="200"/>
      <c r="B755" s="201"/>
      <c r="C755" s="201"/>
      <c r="D755" s="201"/>
      <c r="E755" s="201"/>
      <c r="F755" s="201"/>
      <c r="I755" s="201"/>
      <c r="N755" s="201"/>
      <c r="O755" s="201"/>
      <c r="S755" s="201"/>
      <c r="T755" s="201"/>
      <c r="AB755" s="201"/>
      <c r="AC755" s="201"/>
      <c r="AD755" s="201"/>
      <c r="AE755" s="201"/>
      <c r="AF755" s="201"/>
      <c r="AG755" s="201"/>
      <c r="AH755" s="201"/>
      <c r="AI755" s="201"/>
      <c r="AJ755" s="201"/>
      <c r="AN755" s="201"/>
      <c r="AP755" s="201"/>
      <c r="AT755" s="201"/>
      <c r="AU755" s="201"/>
    </row>
    <row r="756" ht="15.75" customHeight="1">
      <c r="A756" s="200"/>
      <c r="B756" s="201"/>
      <c r="C756" s="201"/>
      <c r="D756" s="201"/>
      <c r="E756" s="201"/>
      <c r="F756" s="201"/>
      <c r="I756" s="201"/>
      <c r="N756" s="201"/>
      <c r="O756" s="201"/>
      <c r="S756" s="201"/>
      <c r="T756" s="201"/>
      <c r="AB756" s="201"/>
      <c r="AC756" s="201"/>
      <c r="AD756" s="201"/>
      <c r="AE756" s="201"/>
      <c r="AF756" s="201"/>
      <c r="AG756" s="201"/>
      <c r="AH756" s="201"/>
      <c r="AI756" s="201"/>
      <c r="AJ756" s="201"/>
      <c r="AN756" s="201"/>
      <c r="AP756" s="201"/>
      <c r="AT756" s="201"/>
      <c r="AU756" s="201"/>
    </row>
    <row r="757" ht="15.75" customHeight="1">
      <c r="A757" s="200"/>
      <c r="B757" s="201"/>
      <c r="C757" s="201"/>
      <c r="D757" s="201"/>
      <c r="E757" s="201"/>
      <c r="F757" s="201"/>
      <c r="I757" s="201"/>
      <c r="N757" s="201"/>
      <c r="O757" s="201"/>
      <c r="S757" s="201"/>
      <c r="T757" s="201"/>
      <c r="AB757" s="201"/>
      <c r="AC757" s="201"/>
      <c r="AD757" s="201"/>
      <c r="AE757" s="201"/>
      <c r="AF757" s="201"/>
      <c r="AG757" s="201"/>
      <c r="AH757" s="201"/>
      <c r="AI757" s="201"/>
      <c r="AJ757" s="201"/>
      <c r="AN757" s="201"/>
      <c r="AP757" s="201"/>
      <c r="AT757" s="201"/>
      <c r="AU757" s="201"/>
    </row>
    <row r="758" ht="15.75" customHeight="1">
      <c r="A758" s="200"/>
      <c r="B758" s="201"/>
      <c r="C758" s="201"/>
      <c r="D758" s="201"/>
      <c r="E758" s="201"/>
      <c r="F758" s="201"/>
      <c r="I758" s="201"/>
      <c r="N758" s="201"/>
      <c r="O758" s="201"/>
      <c r="S758" s="201"/>
      <c r="T758" s="201"/>
      <c r="AB758" s="201"/>
      <c r="AC758" s="201"/>
      <c r="AD758" s="201"/>
      <c r="AE758" s="201"/>
      <c r="AF758" s="201"/>
      <c r="AG758" s="201"/>
      <c r="AH758" s="201"/>
      <c r="AI758" s="201"/>
      <c r="AJ758" s="201"/>
      <c r="AN758" s="201"/>
      <c r="AP758" s="201"/>
      <c r="AT758" s="201"/>
      <c r="AU758" s="201"/>
    </row>
    <row r="759" ht="15.75" customHeight="1">
      <c r="A759" s="200"/>
      <c r="B759" s="201"/>
      <c r="C759" s="201"/>
      <c r="D759" s="201"/>
      <c r="E759" s="201"/>
      <c r="F759" s="201"/>
      <c r="I759" s="201"/>
      <c r="N759" s="201"/>
      <c r="O759" s="201"/>
      <c r="S759" s="201"/>
      <c r="T759" s="201"/>
      <c r="AB759" s="201"/>
      <c r="AC759" s="201"/>
      <c r="AD759" s="201"/>
      <c r="AE759" s="201"/>
      <c r="AF759" s="201"/>
      <c r="AG759" s="201"/>
      <c r="AH759" s="201"/>
      <c r="AI759" s="201"/>
      <c r="AJ759" s="201"/>
      <c r="AN759" s="201"/>
      <c r="AP759" s="201"/>
      <c r="AT759" s="201"/>
      <c r="AU759" s="201"/>
    </row>
    <row r="760" ht="15.75" customHeight="1">
      <c r="A760" s="200"/>
      <c r="B760" s="201"/>
      <c r="C760" s="201"/>
      <c r="D760" s="201"/>
      <c r="E760" s="201"/>
      <c r="F760" s="201"/>
      <c r="I760" s="201"/>
      <c r="N760" s="201"/>
      <c r="O760" s="201"/>
      <c r="S760" s="201"/>
      <c r="T760" s="201"/>
      <c r="AB760" s="201"/>
      <c r="AC760" s="201"/>
      <c r="AD760" s="201"/>
      <c r="AE760" s="201"/>
      <c r="AF760" s="201"/>
      <c r="AG760" s="201"/>
      <c r="AH760" s="201"/>
      <c r="AI760" s="201"/>
      <c r="AJ760" s="201"/>
      <c r="AN760" s="201"/>
      <c r="AP760" s="201"/>
      <c r="AT760" s="201"/>
      <c r="AU760" s="201"/>
    </row>
    <row r="761" ht="15.75" customHeight="1">
      <c r="A761" s="200"/>
      <c r="B761" s="201"/>
      <c r="C761" s="201"/>
      <c r="D761" s="201"/>
      <c r="E761" s="201"/>
      <c r="F761" s="201"/>
      <c r="I761" s="201"/>
      <c r="N761" s="201"/>
      <c r="O761" s="201"/>
      <c r="S761" s="201"/>
      <c r="T761" s="201"/>
      <c r="AB761" s="201"/>
      <c r="AC761" s="201"/>
      <c r="AD761" s="201"/>
      <c r="AE761" s="201"/>
      <c r="AF761" s="201"/>
      <c r="AG761" s="201"/>
      <c r="AH761" s="201"/>
      <c r="AI761" s="201"/>
      <c r="AJ761" s="201"/>
      <c r="AN761" s="201"/>
      <c r="AP761" s="201"/>
      <c r="AT761" s="201"/>
      <c r="AU761" s="201"/>
    </row>
    <row r="762" ht="15.75" customHeight="1">
      <c r="A762" s="200"/>
      <c r="B762" s="201"/>
      <c r="C762" s="201"/>
      <c r="D762" s="201"/>
      <c r="E762" s="201"/>
      <c r="F762" s="201"/>
      <c r="I762" s="201"/>
      <c r="N762" s="201"/>
      <c r="O762" s="201"/>
      <c r="S762" s="201"/>
      <c r="T762" s="201"/>
      <c r="AB762" s="201"/>
      <c r="AC762" s="201"/>
      <c r="AD762" s="201"/>
      <c r="AE762" s="201"/>
      <c r="AF762" s="201"/>
      <c r="AG762" s="201"/>
      <c r="AH762" s="201"/>
      <c r="AI762" s="201"/>
      <c r="AJ762" s="201"/>
      <c r="AN762" s="201"/>
      <c r="AP762" s="201"/>
      <c r="AT762" s="201"/>
      <c r="AU762" s="201"/>
    </row>
    <row r="763" ht="15.75" customHeight="1">
      <c r="A763" s="200"/>
      <c r="B763" s="201"/>
      <c r="C763" s="201"/>
      <c r="D763" s="201"/>
      <c r="E763" s="201"/>
      <c r="F763" s="201"/>
      <c r="I763" s="201"/>
      <c r="N763" s="201"/>
      <c r="O763" s="201"/>
      <c r="S763" s="201"/>
      <c r="T763" s="201"/>
      <c r="AB763" s="201"/>
      <c r="AC763" s="201"/>
      <c r="AD763" s="201"/>
      <c r="AE763" s="201"/>
      <c r="AF763" s="201"/>
      <c r="AG763" s="201"/>
      <c r="AH763" s="201"/>
      <c r="AI763" s="201"/>
      <c r="AJ763" s="201"/>
      <c r="AN763" s="201"/>
      <c r="AP763" s="201"/>
      <c r="AT763" s="201"/>
      <c r="AU763" s="201"/>
    </row>
    <row r="764" ht="15.75" customHeight="1">
      <c r="A764" s="200"/>
      <c r="B764" s="201"/>
      <c r="C764" s="201"/>
      <c r="D764" s="201"/>
      <c r="E764" s="201"/>
      <c r="F764" s="201"/>
      <c r="I764" s="201"/>
      <c r="N764" s="201"/>
      <c r="O764" s="201"/>
      <c r="S764" s="201"/>
      <c r="T764" s="201"/>
      <c r="AB764" s="201"/>
      <c r="AC764" s="201"/>
      <c r="AD764" s="201"/>
      <c r="AE764" s="201"/>
      <c r="AF764" s="201"/>
      <c r="AG764" s="201"/>
      <c r="AH764" s="201"/>
      <c r="AI764" s="201"/>
      <c r="AJ764" s="201"/>
      <c r="AN764" s="201"/>
      <c r="AP764" s="201"/>
      <c r="AT764" s="201"/>
      <c r="AU764" s="201"/>
    </row>
    <row r="765" ht="15.75" customHeight="1">
      <c r="A765" s="200"/>
      <c r="B765" s="201"/>
      <c r="C765" s="201"/>
      <c r="D765" s="201"/>
      <c r="E765" s="201"/>
      <c r="F765" s="201"/>
      <c r="I765" s="201"/>
      <c r="N765" s="201"/>
      <c r="O765" s="201"/>
      <c r="S765" s="201"/>
      <c r="T765" s="201"/>
      <c r="AB765" s="201"/>
      <c r="AC765" s="201"/>
      <c r="AD765" s="201"/>
      <c r="AE765" s="201"/>
      <c r="AF765" s="201"/>
      <c r="AG765" s="201"/>
      <c r="AH765" s="201"/>
      <c r="AI765" s="201"/>
      <c r="AJ765" s="201"/>
      <c r="AN765" s="201"/>
      <c r="AP765" s="201"/>
      <c r="AT765" s="201"/>
      <c r="AU765" s="201"/>
    </row>
    <row r="766" ht="15.75" customHeight="1">
      <c r="A766" s="200"/>
      <c r="B766" s="201"/>
      <c r="C766" s="201"/>
      <c r="D766" s="201"/>
      <c r="E766" s="201"/>
      <c r="F766" s="201"/>
      <c r="I766" s="201"/>
      <c r="N766" s="201"/>
      <c r="O766" s="201"/>
      <c r="S766" s="201"/>
      <c r="T766" s="201"/>
      <c r="AB766" s="201"/>
      <c r="AC766" s="201"/>
      <c r="AD766" s="201"/>
      <c r="AE766" s="201"/>
      <c r="AF766" s="201"/>
      <c r="AG766" s="201"/>
      <c r="AH766" s="201"/>
      <c r="AI766" s="201"/>
      <c r="AJ766" s="201"/>
      <c r="AN766" s="201"/>
      <c r="AP766" s="201"/>
      <c r="AT766" s="201"/>
      <c r="AU766" s="201"/>
    </row>
    <row r="767" ht="15.75" customHeight="1">
      <c r="A767" s="200"/>
      <c r="B767" s="201"/>
      <c r="C767" s="201"/>
      <c r="D767" s="201"/>
      <c r="E767" s="201"/>
      <c r="F767" s="201"/>
      <c r="I767" s="201"/>
      <c r="N767" s="201"/>
      <c r="O767" s="201"/>
      <c r="S767" s="201"/>
      <c r="T767" s="201"/>
      <c r="AB767" s="201"/>
      <c r="AC767" s="201"/>
      <c r="AD767" s="201"/>
      <c r="AE767" s="201"/>
      <c r="AF767" s="201"/>
      <c r="AG767" s="201"/>
      <c r="AH767" s="201"/>
      <c r="AI767" s="201"/>
      <c r="AJ767" s="201"/>
      <c r="AN767" s="201"/>
      <c r="AP767" s="201"/>
      <c r="AT767" s="201"/>
      <c r="AU767" s="201"/>
    </row>
    <row r="768" ht="15.75" customHeight="1">
      <c r="A768" s="200"/>
      <c r="B768" s="201"/>
      <c r="C768" s="201"/>
      <c r="D768" s="201"/>
      <c r="E768" s="201"/>
      <c r="F768" s="201"/>
      <c r="I768" s="201"/>
      <c r="N768" s="201"/>
      <c r="O768" s="201"/>
      <c r="S768" s="201"/>
      <c r="T768" s="201"/>
      <c r="AB768" s="201"/>
      <c r="AC768" s="201"/>
      <c r="AD768" s="201"/>
      <c r="AE768" s="201"/>
      <c r="AF768" s="201"/>
      <c r="AG768" s="201"/>
      <c r="AH768" s="201"/>
      <c r="AI768" s="201"/>
      <c r="AJ768" s="201"/>
      <c r="AN768" s="201"/>
      <c r="AP768" s="201"/>
      <c r="AT768" s="201"/>
      <c r="AU768" s="201"/>
    </row>
    <row r="769" ht="15.75" customHeight="1">
      <c r="A769" s="200"/>
      <c r="B769" s="201"/>
      <c r="C769" s="201"/>
      <c r="D769" s="201"/>
      <c r="E769" s="201"/>
      <c r="F769" s="201"/>
      <c r="I769" s="201"/>
      <c r="N769" s="201"/>
      <c r="O769" s="201"/>
      <c r="S769" s="201"/>
      <c r="T769" s="201"/>
      <c r="AB769" s="201"/>
      <c r="AC769" s="201"/>
      <c r="AD769" s="201"/>
      <c r="AE769" s="201"/>
      <c r="AF769" s="201"/>
      <c r="AG769" s="201"/>
      <c r="AH769" s="201"/>
      <c r="AI769" s="201"/>
      <c r="AJ769" s="201"/>
      <c r="AN769" s="201"/>
      <c r="AP769" s="201"/>
      <c r="AT769" s="201"/>
      <c r="AU769" s="201"/>
    </row>
    <row r="770" ht="15.75" customHeight="1">
      <c r="A770" s="200"/>
      <c r="B770" s="201"/>
      <c r="C770" s="201"/>
      <c r="D770" s="201"/>
      <c r="E770" s="201"/>
      <c r="F770" s="201"/>
      <c r="I770" s="201"/>
      <c r="N770" s="201"/>
      <c r="O770" s="201"/>
      <c r="S770" s="201"/>
      <c r="T770" s="201"/>
      <c r="AB770" s="201"/>
      <c r="AC770" s="201"/>
      <c r="AD770" s="201"/>
      <c r="AE770" s="201"/>
      <c r="AF770" s="201"/>
      <c r="AG770" s="201"/>
      <c r="AH770" s="201"/>
      <c r="AI770" s="201"/>
      <c r="AJ770" s="201"/>
      <c r="AN770" s="201"/>
      <c r="AP770" s="201"/>
      <c r="AT770" s="201"/>
      <c r="AU770" s="201"/>
    </row>
    <row r="771" ht="15.75" customHeight="1">
      <c r="A771" s="200"/>
      <c r="B771" s="201"/>
      <c r="C771" s="201"/>
      <c r="D771" s="201"/>
      <c r="E771" s="201"/>
      <c r="F771" s="201"/>
      <c r="I771" s="201"/>
      <c r="N771" s="201"/>
      <c r="O771" s="201"/>
      <c r="S771" s="201"/>
      <c r="T771" s="201"/>
      <c r="AB771" s="201"/>
      <c r="AC771" s="201"/>
      <c r="AD771" s="201"/>
      <c r="AE771" s="201"/>
      <c r="AF771" s="201"/>
      <c r="AG771" s="201"/>
      <c r="AH771" s="201"/>
      <c r="AI771" s="201"/>
      <c r="AJ771" s="201"/>
      <c r="AN771" s="201"/>
      <c r="AP771" s="201"/>
      <c r="AT771" s="201"/>
      <c r="AU771" s="201"/>
    </row>
    <row r="772" ht="15.75" customHeight="1">
      <c r="A772" s="200"/>
      <c r="B772" s="201"/>
      <c r="C772" s="201"/>
      <c r="D772" s="201"/>
      <c r="E772" s="201"/>
      <c r="F772" s="201"/>
      <c r="I772" s="201"/>
      <c r="N772" s="201"/>
      <c r="O772" s="201"/>
      <c r="S772" s="201"/>
      <c r="T772" s="201"/>
      <c r="AB772" s="201"/>
      <c r="AC772" s="201"/>
      <c r="AD772" s="201"/>
      <c r="AE772" s="201"/>
      <c r="AF772" s="201"/>
      <c r="AG772" s="201"/>
      <c r="AH772" s="201"/>
      <c r="AI772" s="201"/>
      <c r="AJ772" s="201"/>
      <c r="AN772" s="201"/>
      <c r="AP772" s="201"/>
      <c r="AT772" s="201"/>
      <c r="AU772" s="201"/>
    </row>
    <row r="773" ht="15.75" customHeight="1">
      <c r="A773" s="200"/>
      <c r="B773" s="201"/>
      <c r="C773" s="201"/>
      <c r="D773" s="201"/>
      <c r="E773" s="201"/>
      <c r="F773" s="201"/>
      <c r="I773" s="201"/>
      <c r="N773" s="201"/>
      <c r="O773" s="201"/>
      <c r="S773" s="201"/>
      <c r="T773" s="201"/>
      <c r="AB773" s="201"/>
      <c r="AC773" s="201"/>
      <c r="AD773" s="201"/>
      <c r="AE773" s="201"/>
      <c r="AF773" s="201"/>
      <c r="AG773" s="201"/>
      <c r="AH773" s="201"/>
      <c r="AI773" s="201"/>
      <c r="AJ773" s="201"/>
      <c r="AN773" s="201"/>
      <c r="AP773" s="201"/>
      <c r="AT773" s="201"/>
      <c r="AU773" s="201"/>
    </row>
    <row r="774" ht="15.75" customHeight="1">
      <c r="A774" s="200"/>
      <c r="B774" s="201"/>
      <c r="C774" s="201"/>
      <c r="D774" s="201"/>
      <c r="E774" s="201"/>
      <c r="F774" s="201"/>
      <c r="I774" s="201"/>
      <c r="N774" s="201"/>
      <c r="O774" s="201"/>
      <c r="S774" s="201"/>
      <c r="T774" s="201"/>
      <c r="AB774" s="201"/>
      <c r="AC774" s="201"/>
      <c r="AD774" s="201"/>
      <c r="AE774" s="201"/>
      <c r="AF774" s="201"/>
      <c r="AG774" s="201"/>
      <c r="AH774" s="201"/>
      <c r="AI774" s="201"/>
      <c r="AJ774" s="201"/>
      <c r="AN774" s="201"/>
      <c r="AP774" s="201"/>
      <c r="AT774" s="201"/>
      <c r="AU774" s="201"/>
    </row>
    <row r="775" ht="15.75" customHeight="1">
      <c r="A775" s="200"/>
      <c r="B775" s="201"/>
      <c r="C775" s="201"/>
      <c r="D775" s="201"/>
      <c r="E775" s="201"/>
      <c r="F775" s="201"/>
      <c r="I775" s="201"/>
      <c r="N775" s="201"/>
      <c r="O775" s="201"/>
      <c r="S775" s="201"/>
      <c r="T775" s="201"/>
      <c r="AB775" s="201"/>
      <c r="AC775" s="201"/>
      <c r="AD775" s="201"/>
      <c r="AE775" s="201"/>
      <c r="AF775" s="201"/>
      <c r="AG775" s="201"/>
      <c r="AH775" s="201"/>
      <c r="AI775" s="201"/>
      <c r="AJ775" s="201"/>
      <c r="AN775" s="201"/>
      <c r="AP775" s="201"/>
      <c r="AT775" s="201"/>
      <c r="AU775" s="201"/>
    </row>
    <row r="776" ht="15.75" customHeight="1">
      <c r="A776" s="200"/>
      <c r="B776" s="201"/>
      <c r="C776" s="201"/>
      <c r="D776" s="201"/>
      <c r="E776" s="201"/>
      <c r="F776" s="201"/>
      <c r="I776" s="201"/>
      <c r="N776" s="201"/>
      <c r="O776" s="201"/>
      <c r="S776" s="201"/>
      <c r="T776" s="201"/>
      <c r="AB776" s="201"/>
      <c r="AC776" s="201"/>
      <c r="AD776" s="201"/>
      <c r="AE776" s="201"/>
      <c r="AF776" s="201"/>
      <c r="AG776" s="201"/>
      <c r="AH776" s="201"/>
      <c r="AI776" s="201"/>
      <c r="AJ776" s="201"/>
      <c r="AN776" s="201"/>
      <c r="AP776" s="201"/>
      <c r="AT776" s="201"/>
      <c r="AU776" s="201"/>
    </row>
    <row r="777" ht="15.75" customHeight="1">
      <c r="A777" s="200"/>
      <c r="B777" s="201"/>
      <c r="C777" s="201"/>
      <c r="D777" s="201"/>
      <c r="E777" s="201"/>
      <c r="F777" s="201"/>
      <c r="I777" s="201"/>
      <c r="N777" s="201"/>
      <c r="O777" s="201"/>
      <c r="S777" s="201"/>
      <c r="T777" s="201"/>
      <c r="AB777" s="201"/>
      <c r="AC777" s="201"/>
      <c r="AD777" s="201"/>
      <c r="AE777" s="201"/>
      <c r="AF777" s="201"/>
      <c r="AG777" s="201"/>
      <c r="AH777" s="201"/>
      <c r="AI777" s="201"/>
      <c r="AJ777" s="201"/>
      <c r="AN777" s="201"/>
      <c r="AP777" s="201"/>
      <c r="AT777" s="201"/>
      <c r="AU777" s="201"/>
    </row>
    <row r="778" ht="15.75" customHeight="1">
      <c r="A778" s="200"/>
      <c r="B778" s="201"/>
      <c r="C778" s="201"/>
      <c r="D778" s="201"/>
      <c r="E778" s="201"/>
      <c r="F778" s="201"/>
      <c r="I778" s="201"/>
      <c r="N778" s="201"/>
      <c r="O778" s="201"/>
      <c r="S778" s="201"/>
      <c r="T778" s="201"/>
      <c r="AB778" s="201"/>
      <c r="AC778" s="201"/>
      <c r="AD778" s="201"/>
      <c r="AE778" s="201"/>
      <c r="AF778" s="201"/>
      <c r="AG778" s="201"/>
      <c r="AH778" s="201"/>
      <c r="AI778" s="201"/>
      <c r="AJ778" s="201"/>
      <c r="AN778" s="201"/>
      <c r="AP778" s="201"/>
      <c r="AT778" s="201"/>
      <c r="AU778" s="201"/>
    </row>
    <row r="779" ht="15.75" customHeight="1">
      <c r="A779" s="200"/>
      <c r="B779" s="201"/>
      <c r="C779" s="201"/>
      <c r="D779" s="201"/>
      <c r="E779" s="201"/>
      <c r="F779" s="201"/>
      <c r="I779" s="201"/>
      <c r="N779" s="201"/>
      <c r="O779" s="201"/>
      <c r="S779" s="201"/>
      <c r="T779" s="201"/>
      <c r="AB779" s="201"/>
      <c r="AC779" s="201"/>
      <c r="AD779" s="201"/>
      <c r="AE779" s="201"/>
      <c r="AF779" s="201"/>
      <c r="AG779" s="201"/>
      <c r="AH779" s="201"/>
      <c r="AI779" s="201"/>
      <c r="AJ779" s="201"/>
      <c r="AN779" s="201"/>
      <c r="AP779" s="201"/>
      <c r="AT779" s="201"/>
      <c r="AU779" s="201"/>
    </row>
    <row r="780" ht="15.75" customHeight="1">
      <c r="A780" s="200"/>
      <c r="B780" s="201"/>
      <c r="C780" s="201"/>
      <c r="D780" s="201"/>
      <c r="E780" s="201"/>
      <c r="F780" s="201"/>
      <c r="I780" s="201"/>
      <c r="N780" s="201"/>
      <c r="O780" s="201"/>
      <c r="S780" s="201"/>
      <c r="T780" s="201"/>
      <c r="AB780" s="201"/>
      <c r="AC780" s="201"/>
      <c r="AD780" s="201"/>
      <c r="AE780" s="201"/>
      <c r="AF780" s="201"/>
      <c r="AG780" s="201"/>
      <c r="AH780" s="201"/>
      <c r="AI780" s="201"/>
      <c r="AJ780" s="201"/>
      <c r="AN780" s="201"/>
      <c r="AP780" s="201"/>
      <c r="AT780" s="201"/>
      <c r="AU780" s="201"/>
    </row>
    <row r="781" ht="15.75" customHeight="1">
      <c r="A781" s="200"/>
      <c r="B781" s="201"/>
      <c r="C781" s="201"/>
      <c r="D781" s="201"/>
      <c r="E781" s="201"/>
      <c r="F781" s="201"/>
      <c r="I781" s="201"/>
      <c r="N781" s="201"/>
      <c r="O781" s="201"/>
      <c r="S781" s="201"/>
      <c r="T781" s="201"/>
      <c r="AB781" s="201"/>
      <c r="AC781" s="201"/>
      <c r="AD781" s="201"/>
      <c r="AE781" s="201"/>
      <c r="AF781" s="201"/>
      <c r="AG781" s="201"/>
      <c r="AH781" s="201"/>
      <c r="AI781" s="201"/>
      <c r="AJ781" s="201"/>
      <c r="AN781" s="201"/>
      <c r="AP781" s="201"/>
      <c r="AT781" s="201"/>
      <c r="AU781" s="201"/>
    </row>
    <row r="782" ht="15.75" customHeight="1">
      <c r="A782" s="200"/>
      <c r="B782" s="201"/>
      <c r="C782" s="201"/>
      <c r="D782" s="201"/>
      <c r="E782" s="201"/>
      <c r="F782" s="201"/>
      <c r="I782" s="201"/>
      <c r="N782" s="201"/>
      <c r="O782" s="201"/>
      <c r="S782" s="201"/>
      <c r="T782" s="201"/>
      <c r="AB782" s="201"/>
      <c r="AC782" s="201"/>
      <c r="AD782" s="201"/>
      <c r="AE782" s="201"/>
      <c r="AF782" s="201"/>
      <c r="AG782" s="201"/>
      <c r="AH782" s="201"/>
      <c r="AI782" s="201"/>
      <c r="AJ782" s="201"/>
      <c r="AN782" s="201"/>
      <c r="AP782" s="201"/>
      <c r="AT782" s="201"/>
      <c r="AU782" s="201"/>
    </row>
    <row r="783" ht="15.75" customHeight="1">
      <c r="A783" s="200"/>
      <c r="B783" s="201"/>
      <c r="C783" s="201"/>
      <c r="D783" s="201"/>
      <c r="E783" s="201"/>
      <c r="F783" s="201"/>
      <c r="I783" s="201"/>
      <c r="N783" s="201"/>
      <c r="O783" s="201"/>
      <c r="S783" s="201"/>
      <c r="T783" s="201"/>
      <c r="AB783" s="201"/>
      <c r="AC783" s="201"/>
      <c r="AD783" s="201"/>
      <c r="AE783" s="201"/>
      <c r="AF783" s="201"/>
      <c r="AG783" s="201"/>
      <c r="AH783" s="201"/>
      <c r="AI783" s="201"/>
      <c r="AJ783" s="201"/>
      <c r="AN783" s="201"/>
      <c r="AP783" s="201"/>
      <c r="AT783" s="201"/>
      <c r="AU783" s="201"/>
    </row>
    <row r="784" ht="15.75" customHeight="1">
      <c r="A784" s="200"/>
      <c r="B784" s="201"/>
      <c r="C784" s="201"/>
      <c r="D784" s="201"/>
      <c r="E784" s="201"/>
      <c r="F784" s="201"/>
      <c r="I784" s="201"/>
      <c r="N784" s="201"/>
      <c r="O784" s="201"/>
      <c r="S784" s="201"/>
      <c r="T784" s="201"/>
      <c r="AB784" s="201"/>
      <c r="AC784" s="201"/>
      <c r="AD784" s="201"/>
      <c r="AE784" s="201"/>
      <c r="AF784" s="201"/>
      <c r="AG784" s="201"/>
      <c r="AH784" s="201"/>
      <c r="AI784" s="201"/>
      <c r="AJ784" s="201"/>
      <c r="AN784" s="201"/>
      <c r="AP784" s="201"/>
      <c r="AT784" s="201"/>
      <c r="AU784" s="201"/>
    </row>
    <row r="785" ht="15.75" customHeight="1">
      <c r="A785" s="200"/>
      <c r="B785" s="201"/>
      <c r="C785" s="201"/>
      <c r="D785" s="201"/>
      <c r="E785" s="201"/>
      <c r="F785" s="201"/>
      <c r="I785" s="201"/>
      <c r="N785" s="201"/>
      <c r="O785" s="201"/>
      <c r="S785" s="201"/>
      <c r="T785" s="201"/>
      <c r="AB785" s="201"/>
      <c r="AC785" s="201"/>
      <c r="AD785" s="201"/>
      <c r="AE785" s="201"/>
      <c r="AF785" s="201"/>
      <c r="AG785" s="201"/>
      <c r="AH785" s="201"/>
      <c r="AI785" s="201"/>
      <c r="AJ785" s="201"/>
      <c r="AN785" s="201"/>
      <c r="AP785" s="201"/>
      <c r="AT785" s="201"/>
      <c r="AU785" s="201"/>
    </row>
    <row r="786" ht="15.75" customHeight="1">
      <c r="A786" s="200"/>
      <c r="B786" s="201"/>
      <c r="C786" s="201"/>
      <c r="D786" s="201"/>
      <c r="E786" s="201"/>
      <c r="F786" s="201"/>
      <c r="I786" s="201"/>
      <c r="N786" s="201"/>
      <c r="O786" s="201"/>
      <c r="S786" s="201"/>
      <c r="T786" s="201"/>
      <c r="AB786" s="201"/>
      <c r="AC786" s="201"/>
      <c r="AD786" s="201"/>
      <c r="AE786" s="201"/>
      <c r="AF786" s="201"/>
      <c r="AG786" s="201"/>
      <c r="AH786" s="201"/>
      <c r="AI786" s="201"/>
      <c r="AJ786" s="201"/>
      <c r="AN786" s="201"/>
      <c r="AP786" s="201"/>
      <c r="AT786" s="201"/>
      <c r="AU786" s="201"/>
    </row>
    <row r="787" ht="15.75" customHeight="1">
      <c r="A787" s="200"/>
      <c r="B787" s="201"/>
      <c r="C787" s="201"/>
      <c r="D787" s="201"/>
      <c r="E787" s="201"/>
      <c r="F787" s="201"/>
      <c r="I787" s="201"/>
      <c r="N787" s="201"/>
      <c r="O787" s="201"/>
      <c r="S787" s="201"/>
      <c r="T787" s="201"/>
      <c r="AB787" s="201"/>
      <c r="AC787" s="201"/>
      <c r="AD787" s="201"/>
      <c r="AE787" s="201"/>
      <c r="AF787" s="201"/>
      <c r="AG787" s="201"/>
      <c r="AH787" s="201"/>
      <c r="AI787" s="201"/>
      <c r="AJ787" s="201"/>
      <c r="AN787" s="201"/>
      <c r="AP787" s="201"/>
      <c r="AT787" s="201"/>
      <c r="AU787" s="201"/>
    </row>
    <row r="788" ht="15.75" customHeight="1">
      <c r="A788" s="200"/>
      <c r="B788" s="201"/>
      <c r="C788" s="201"/>
      <c r="D788" s="201"/>
      <c r="E788" s="201"/>
      <c r="F788" s="201"/>
      <c r="I788" s="201"/>
      <c r="N788" s="201"/>
      <c r="O788" s="201"/>
      <c r="S788" s="201"/>
      <c r="T788" s="201"/>
      <c r="AB788" s="201"/>
      <c r="AC788" s="201"/>
      <c r="AD788" s="201"/>
      <c r="AE788" s="201"/>
      <c r="AF788" s="201"/>
      <c r="AG788" s="201"/>
      <c r="AH788" s="201"/>
      <c r="AI788" s="201"/>
      <c r="AJ788" s="201"/>
      <c r="AN788" s="201"/>
      <c r="AP788" s="201"/>
      <c r="AT788" s="201"/>
      <c r="AU788" s="201"/>
    </row>
    <row r="789" ht="15.75" customHeight="1">
      <c r="A789" s="200"/>
      <c r="B789" s="201"/>
      <c r="C789" s="201"/>
      <c r="D789" s="201"/>
      <c r="E789" s="201"/>
      <c r="F789" s="201"/>
      <c r="I789" s="201"/>
      <c r="N789" s="201"/>
      <c r="O789" s="201"/>
      <c r="S789" s="201"/>
      <c r="T789" s="201"/>
      <c r="AB789" s="201"/>
      <c r="AC789" s="201"/>
      <c r="AD789" s="201"/>
      <c r="AE789" s="201"/>
      <c r="AF789" s="201"/>
      <c r="AG789" s="201"/>
      <c r="AH789" s="201"/>
      <c r="AI789" s="201"/>
      <c r="AJ789" s="201"/>
      <c r="AN789" s="201"/>
      <c r="AP789" s="201"/>
      <c r="AT789" s="201"/>
      <c r="AU789" s="201"/>
    </row>
    <row r="790" ht="15.75" customHeight="1">
      <c r="A790" s="200"/>
      <c r="B790" s="201"/>
      <c r="C790" s="201"/>
      <c r="D790" s="201"/>
      <c r="E790" s="201"/>
      <c r="F790" s="201"/>
      <c r="I790" s="201"/>
      <c r="N790" s="201"/>
      <c r="O790" s="201"/>
      <c r="S790" s="201"/>
      <c r="T790" s="201"/>
      <c r="AB790" s="201"/>
      <c r="AC790" s="201"/>
      <c r="AD790" s="201"/>
      <c r="AE790" s="201"/>
      <c r="AF790" s="201"/>
      <c r="AG790" s="201"/>
      <c r="AH790" s="201"/>
      <c r="AI790" s="201"/>
      <c r="AJ790" s="201"/>
      <c r="AN790" s="201"/>
      <c r="AP790" s="201"/>
      <c r="AT790" s="201"/>
      <c r="AU790" s="201"/>
    </row>
    <row r="791" ht="15.75" customHeight="1">
      <c r="A791" s="200"/>
      <c r="B791" s="201"/>
      <c r="C791" s="201"/>
      <c r="D791" s="201"/>
      <c r="E791" s="201"/>
      <c r="F791" s="201"/>
      <c r="I791" s="201"/>
      <c r="N791" s="201"/>
      <c r="O791" s="201"/>
      <c r="S791" s="201"/>
      <c r="T791" s="201"/>
      <c r="AB791" s="201"/>
      <c r="AC791" s="201"/>
      <c r="AD791" s="201"/>
      <c r="AE791" s="201"/>
      <c r="AF791" s="201"/>
      <c r="AG791" s="201"/>
      <c r="AH791" s="201"/>
      <c r="AI791" s="201"/>
      <c r="AJ791" s="201"/>
      <c r="AN791" s="201"/>
      <c r="AP791" s="201"/>
      <c r="AT791" s="201"/>
      <c r="AU791" s="201"/>
    </row>
    <row r="792" ht="15.75" customHeight="1">
      <c r="A792" s="200"/>
      <c r="B792" s="201"/>
      <c r="C792" s="201"/>
      <c r="D792" s="201"/>
      <c r="E792" s="201"/>
      <c r="F792" s="201"/>
      <c r="I792" s="201"/>
      <c r="N792" s="201"/>
      <c r="O792" s="201"/>
      <c r="S792" s="201"/>
      <c r="T792" s="201"/>
      <c r="AB792" s="201"/>
      <c r="AC792" s="201"/>
      <c r="AD792" s="201"/>
      <c r="AE792" s="201"/>
      <c r="AF792" s="201"/>
      <c r="AG792" s="201"/>
      <c r="AH792" s="201"/>
      <c r="AI792" s="201"/>
      <c r="AJ792" s="201"/>
      <c r="AN792" s="201"/>
      <c r="AP792" s="201"/>
      <c r="AT792" s="201"/>
      <c r="AU792" s="201"/>
    </row>
    <row r="793" ht="15.75" customHeight="1">
      <c r="A793" s="200"/>
      <c r="B793" s="201"/>
      <c r="C793" s="201"/>
      <c r="D793" s="201"/>
      <c r="E793" s="201"/>
      <c r="F793" s="201"/>
      <c r="I793" s="201"/>
      <c r="N793" s="201"/>
      <c r="O793" s="201"/>
      <c r="S793" s="201"/>
      <c r="T793" s="201"/>
      <c r="AB793" s="201"/>
      <c r="AC793" s="201"/>
      <c r="AD793" s="201"/>
      <c r="AE793" s="201"/>
      <c r="AF793" s="201"/>
      <c r="AG793" s="201"/>
      <c r="AH793" s="201"/>
      <c r="AI793" s="201"/>
      <c r="AJ793" s="201"/>
      <c r="AN793" s="201"/>
      <c r="AP793" s="201"/>
      <c r="AT793" s="201"/>
      <c r="AU793" s="201"/>
    </row>
    <row r="794" ht="15.75" customHeight="1">
      <c r="A794" s="200"/>
      <c r="B794" s="201"/>
      <c r="C794" s="201"/>
      <c r="D794" s="201"/>
      <c r="E794" s="201"/>
      <c r="F794" s="201"/>
      <c r="I794" s="201"/>
      <c r="N794" s="201"/>
      <c r="O794" s="201"/>
      <c r="S794" s="201"/>
      <c r="T794" s="201"/>
      <c r="AB794" s="201"/>
      <c r="AC794" s="201"/>
      <c r="AD794" s="201"/>
      <c r="AE794" s="201"/>
      <c r="AF794" s="201"/>
      <c r="AG794" s="201"/>
      <c r="AH794" s="201"/>
      <c r="AI794" s="201"/>
      <c r="AJ794" s="201"/>
      <c r="AN794" s="201"/>
      <c r="AP794" s="201"/>
      <c r="AT794" s="201"/>
      <c r="AU794" s="201"/>
    </row>
    <row r="795" ht="15.75" customHeight="1">
      <c r="A795" s="200"/>
      <c r="B795" s="201"/>
      <c r="C795" s="201"/>
      <c r="D795" s="201"/>
      <c r="E795" s="201"/>
      <c r="F795" s="201"/>
      <c r="I795" s="201"/>
      <c r="N795" s="201"/>
      <c r="O795" s="201"/>
      <c r="S795" s="201"/>
      <c r="T795" s="201"/>
      <c r="AB795" s="201"/>
      <c r="AC795" s="201"/>
      <c r="AD795" s="201"/>
      <c r="AE795" s="201"/>
      <c r="AF795" s="201"/>
      <c r="AG795" s="201"/>
      <c r="AH795" s="201"/>
      <c r="AI795" s="201"/>
      <c r="AJ795" s="201"/>
      <c r="AN795" s="201"/>
      <c r="AP795" s="201"/>
      <c r="AT795" s="201"/>
      <c r="AU795" s="201"/>
    </row>
    <row r="796" ht="15.75" customHeight="1">
      <c r="A796" s="200"/>
      <c r="B796" s="201"/>
      <c r="C796" s="201"/>
      <c r="D796" s="201"/>
      <c r="E796" s="201"/>
      <c r="F796" s="201"/>
      <c r="I796" s="201"/>
      <c r="N796" s="201"/>
      <c r="O796" s="201"/>
      <c r="S796" s="201"/>
      <c r="T796" s="201"/>
      <c r="AB796" s="201"/>
      <c r="AC796" s="201"/>
      <c r="AD796" s="201"/>
      <c r="AE796" s="201"/>
      <c r="AF796" s="201"/>
      <c r="AG796" s="201"/>
      <c r="AH796" s="201"/>
      <c r="AI796" s="201"/>
      <c r="AJ796" s="201"/>
      <c r="AN796" s="201"/>
      <c r="AP796" s="201"/>
      <c r="AT796" s="201"/>
      <c r="AU796" s="201"/>
    </row>
    <row r="797" ht="15.75" customHeight="1">
      <c r="A797" s="200"/>
      <c r="B797" s="201"/>
      <c r="C797" s="201"/>
      <c r="D797" s="201"/>
      <c r="E797" s="201"/>
      <c r="F797" s="201"/>
      <c r="I797" s="201"/>
      <c r="N797" s="201"/>
      <c r="O797" s="201"/>
      <c r="S797" s="201"/>
      <c r="T797" s="201"/>
      <c r="AB797" s="201"/>
      <c r="AC797" s="201"/>
      <c r="AD797" s="201"/>
      <c r="AE797" s="201"/>
      <c r="AF797" s="201"/>
      <c r="AG797" s="201"/>
      <c r="AH797" s="201"/>
      <c r="AI797" s="201"/>
      <c r="AJ797" s="201"/>
      <c r="AN797" s="201"/>
      <c r="AP797" s="201"/>
      <c r="AT797" s="201"/>
      <c r="AU797" s="201"/>
    </row>
    <row r="798" ht="15.75" customHeight="1">
      <c r="A798" s="200"/>
      <c r="B798" s="201"/>
      <c r="C798" s="201"/>
      <c r="D798" s="201"/>
      <c r="E798" s="201"/>
      <c r="F798" s="201"/>
      <c r="I798" s="201"/>
      <c r="N798" s="201"/>
      <c r="O798" s="201"/>
      <c r="S798" s="201"/>
      <c r="T798" s="201"/>
      <c r="AB798" s="201"/>
      <c r="AC798" s="201"/>
      <c r="AD798" s="201"/>
      <c r="AE798" s="201"/>
      <c r="AF798" s="201"/>
      <c r="AG798" s="201"/>
      <c r="AH798" s="201"/>
      <c r="AI798" s="201"/>
      <c r="AJ798" s="201"/>
      <c r="AN798" s="201"/>
      <c r="AP798" s="201"/>
      <c r="AT798" s="201"/>
      <c r="AU798" s="201"/>
    </row>
    <row r="799" ht="15.75" customHeight="1">
      <c r="A799" s="200"/>
      <c r="B799" s="201"/>
      <c r="C799" s="201"/>
      <c r="D799" s="201"/>
      <c r="E799" s="201"/>
      <c r="F799" s="201"/>
      <c r="I799" s="201"/>
      <c r="N799" s="201"/>
      <c r="O799" s="201"/>
      <c r="S799" s="201"/>
      <c r="T799" s="201"/>
      <c r="AB799" s="201"/>
      <c r="AC799" s="201"/>
      <c r="AD799" s="201"/>
      <c r="AE799" s="201"/>
      <c r="AF799" s="201"/>
      <c r="AG799" s="201"/>
      <c r="AH799" s="201"/>
      <c r="AI799" s="201"/>
      <c r="AJ799" s="201"/>
      <c r="AN799" s="201"/>
      <c r="AP799" s="201"/>
      <c r="AT799" s="201"/>
      <c r="AU799" s="201"/>
    </row>
    <row r="800" ht="15.75" customHeight="1">
      <c r="A800" s="200"/>
      <c r="B800" s="201"/>
      <c r="C800" s="201"/>
      <c r="D800" s="201"/>
      <c r="E800" s="201"/>
      <c r="F800" s="201"/>
      <c r="I800" s="201"/>
      <c r="N800" s="201"/>
      <c r="O800" s="201"/>
      <c r="S800" s="201"/>
      <c r="T800" s="201"/>
      <c r="AB800" s="201"/>
      <c r="AC800" s="201"/>
      <c r="AD800" s="201"/>
      <c r="AE800" s="201"/>
      <c r="AF800" s="201"/>
      <c r="AG800" s="201"/>
      <c r="AH800" s="201"/>
      <c r="AI800" s="201"/>
      <c r="AJ800" s="201"/>
      <c r="AN800" s="201"/>
      <c r="AP800" s="201"/>
      <c r="AT800" s="201"/>
      <c r="AU800" s="201"/>
    </row>
    <row r="801" ht="15.75" customHeight="1">
      <c r="A801" s="200"/>
      <c r="B801" s="201"/>
      <c r="C801" s="201"/>
      <c r="D801" s="201"/>
      <c r="E801" s="201"/>
      <c r="F801" s="201"/>
      <c r="I801" s="201"/>
      <c r="N801" s="201"/>
      <c r="O801" s="201"/>
      <c r="S801" s="201"/>
      <c r="T801" s="201"/>
      <c r="AB801" s="201"/>
      <c r="AC801" s="201"/>
      <c r="AD801" s="201"/>
      <c r="AE801" s="201"/>
      <c r="AF801" s="201"/>
      <c r="AG801" s="201"/>
      <c r="AH801" s="201"/>
      <c r="AI801" s="201"/>
      <c r="AJ801" s="201"/>
      <c r="AN801" s="201"/>
      <c r="AP801" s="201"/>
      <c r="AT801" s="201"/>
      <c r="AU801" s="201"/>
    </row>
    <row r="802" ht="15.75" customHeight="1">
      <c r="A802" s="200"/>
      <c r="B802" s="201"/>
      <c r="C802" s="201"/>
      <c r="D802" s="201"/>
      <c r="E802" s="201"/>
      <c r="F802" s="201"/>
      <c r="I802" s="201"/>
      <c r="N802" s="201"/>
      <c r="O802" s="201"/>
      <c r="S802" s="201"/>
      <c r="T802" s="201"/>
      <c r="AB802" s="201"/>
      <c r="AC802" s="201"/>
      <c r="AD802" s="201"/>
      <c r="AE802" s="201"/>
      <c r="AF802" s="201"/>
      <c r="AG802" s="201"/>
      <c r="AH802" s="201"/>
      <c r="AI802" s="201"/>
      <c r="AJ802" s="201"/>
      <c r="AN802" s="201"/>
      <c r="AP802" s="201"/>
      <c r="AT802" s="201"/>
      <c r="AU802" s="201"/>
    </row>
    <row r="803" ht="15.75" customHeight="1">
      <c r="A803" s="200"/>
      <c r="B803" s="201"/>
      <c r="C803" s="201"/>
      <c r="D803" s="201"/>
      <c r="E803" s="201"/>
      <c r="F803" s="201"/>
      <c r="I803" s="201"/>
      <c r="N803" s="201"/>
      <c r="O803" s="201"/>
      <c r="S803" s="201"/>
      <c r="T803" s="201"/>
      <c r="AB803" s="201"/>
      <c r="AC803" s="201"/>
      <c r="AD803" s="201"/>
      <c r="AE803" s="201"/>
      <c r="AF803" s="201"/>
      <c r="AG803" s="201"/>
      <c r="AH803" s="201"/>
      <c r="AI803" s="201"/>
      <c r="AJ803" s="201"/>
      <c r="AN803" s="201"/>
      <c r="AP803" s="201"/>
      <c r="AT803" s="201"/>
      <c r="AU803" s="201"/>
    </row>
    <row r="804" ht="15.75" customHeight="1">
      <c r="A804" s="200"/>
      <c r="B804" s="201"/>
      <c r="C804" s="201"/>
      <c r="D804" s="201"/>
      <c r="E804" s="201"/>
      <c r="F804" s="201"/>
      <c r="I804" s="201"/>
      <c r="N804" s="201"/>
      <c r="O804" s="201"/>
      <c r="S804" s="201"/>
      <c r="T804" s="201"/>
      <c r="AB804" s="201"/>
      <c r="AC804" s="201"/>
      <c r="AD804" s="201"/>
      <c r="AE804" s="201"/>
      <c r="AF804" s="201"/>
      <c r="AG804" s="201"/>
      <c r="AH804" s="201"/>
      <c r="AI804" s="201"/>
      <c r="AJ804" s="201"/>
      <c r="AN804" s="201"/>
      <c r="AP804" s="201"/>
      <c r="AT804" s="201"/>
      <c r="AU804" s="201"/>
    </row>
    <row r="805" ht="15.75" customHeight="1">
      <c r="A805" s="200"/>
      <c r="B805" s="201"/>
      <c r="C805" s="201"/>
      <c r="D805" s="201"/>
      <c r="E805" s="201"/>
      <c r="F805" s="201"/>
      <c r="I805" s="201"/>
      <c r="N805" s="201"/>
      <c r="O805" s="201"/>
      <c r="S805" s="201"/>
      <c r="T805" s="201"/>
      <c r="AB805" s="201"/>
      <c r="AC805" s="201"/>
      <c r="AD805" s="201"/>
      <c r="AE805" s="201"/>
      <c r="AF805" s="201"/>
      <c r="AG805" s="201"/>
      <c r="AH805" s="201"/>
      <c r="AI805" s="201"/>
      <c r="AJ805" s="201"/>
      <c r="AN805" s="201"/>
      <c r="AP805" s="201"/>
      <c r="AT805" s="201"/>
      <c r="AU805" s="201"/>
    </row>
    <row r="806" ht="15.75" customHeight="1">
      <c r="A806" s="200"/>
      <c r="B806" s="201"/>
      <c r="C806" s="201"/>
      <c r="D806" s="201"/>
      <c r="E806" s="201"/>
      <c r="F806" s="201"/>
      <c r="I806" s="201"/>
      <c r="N806" s="201"/>
      <c r="O806" s="201"/>
      <c r="S806" s="201"/>
      <c r="T806" s="201"/>
      <c r="AB806" s="201"/>
      <c r="AC806" s="201"/>
      <c r="AD806" s="201"/>
      <c r="AE806" s="201"/>
      <c r="AF806" s="201"/>
      <c r="AG806" s="201"/>
      <c r="AH806" s="201"/>
      <c r="AI806" s="201"/>
      <c r="AJ806" s="201"/>
      <c r="AN806" s="201"/>
      <c r="AP806" s="201"/>
      <c r="AT806" s="201"/>
      <c r="AU806" s="201"/>
    </row>
    <row r="807" ht="15.75" customHeight="1">
      <c r="A807" s="200"/>
      <c r="B807" s="201"/>
      <c r="C807" s="201"/>
      <c r="D807" s="201"/>
      <c r="E807" s="201"/>
      <c r="F807" s="201"/>
      <c r="I807" s="201"/>
      <c r="N807" s="201"/>
      <c r="O807" s="201"/>
      <c r="S807" s="201"/>
      <c r="T807" s="201"/>
      <c r="AB807" s="201"/>
      <c r="AC807" s="201"/>
      <c r="AD807" s="201"/>
      <c r="AE807" s="201"/>
      <c r="AF807" s="201"/>
      <c r="AG807" s="201"/>
      <c r="AH807" s="201"/>
      <c r="AI807" s="201"/>
      <c r="AJ807" s="201"/>
      <c r="AN807" s="201"/>
      <c r="AP807" s="201"/>
      <c r="AT807" s="201"/>
      <c r="AU807" s="201"/>
    </row>
    <row r="808" ht="15.75" customHeight="1">
      <c r="A808" s="200"/>
      <c r="B808" s="201"/>
      <c r="C808" s="201"/>
      <c r="D808" s="201"/>
      <c r="E808" s="201"/>
      <c r="F808" s="201"/>
      <c r="I808" s="201"/>
      <c r="N808" s="201"/>
      <c r="O808" s="201"/>
      <c r="S808" s="201"/>
      <c r="T808" s="201"/>
      <c r="AB808" s="201"/>
      <c r="AC808" s="201"/>
      <c r="AD808" s="201"/>
      <c r="AE808" s="201"/>
      <c r="AF808" s="201"/>
      <c r="AG808" s="201"/>
      <c r="AH808" s="201"/>
      <c r="AI808" s="201"/>
      <c r="AJ808" s="201"/>
      <c r="AN808" s="201"/>
      <c r="AP808" s="201"/>
      <c r="AT808" s="201"/>
      <c r="AU808" s="201"/>
    </row>
    <row r="809" ht="15.75" customHeight="1">
      <c r="A809" s="200"/>
      <c r="B809" s="201"/>
      <c r="C809" s="201"/>
      <c r="D809" s="201"/>
      <c r="E809" s="201"/>
      <c r="F809" s="201"/>
      <c r="I809" s="201"/>
      <c r="N809" s="201"/>
      <c r="O809" s="201"/>
      <c r="S809" s="201"/>
      <c r="T809" s="201"/>
      <c r="AB809" s="201"/>
      <c r="AC809" s="201"/>
      <c r="AD809" s="201"/>
      <c r="AE809" s="201"/>
      <c r="AF809" s="201"/>
      <c r="AG809" s="201"/>
      <c r="AH809" s="201"/>
      <c r="AI809" s="201"/>
      <c r="AJ809" s="201"/>
      <c r="AN809" s="201"/>
      <c r="AP809" s="201"/>
      <c r="AT809" s="201"/>
      <c r="AU809" s="201"/>
    </row>
    <row r="810" ht="15.75" customHeight="1">
      <c r="A810" s="200"/>
      <c r="B810" s="201"/>
      <c r="C810" s="201"/>
      <c r="D810" s="201"/>
      <c r="E810" s="201"/>
      <c r="F810" s="201"/>
      <c r="I810" s="201"/>
      <c r="N810" s="201"/>
      <c r="O810" s="201"/>
      <c r="S810" s="201"/>
      <c r="T810" s="201"/>
      <c r="AB810" s="201"/>
      <c r="AC810" s="201"/>
      <c r="AD810" s="201"/>
      <c r="AE810" s="201"/>
      <c r="AF810" s="201"/>
      <c r="AG810" s="201"/>
      <c r="AH810" s="201"/>
      <c r="AI810" s="201"/>
      <c r="AJ810" s="201"/>
      <c r="AN810" s="201"/>
      <c r="AP810" s="201"/>
      <c r="AT810" s="201"/>
      <c r="AU810" s="201"/>
    </row>
    <row r="811" ht="15.75" customHeight="1">
      <c r="A811" s="200"/>
      <c r="B811" s="201"/>
      <c r="C811" s="201"/>
      <c r="D811" s="201"/>
      <c r="E811" s="201"/>
      <c r="F811" s="201"/>
      <c r="I811" s="201"/>
      <c r="N811" s="201"/>
      <c r="O811" s="201"/>
      <c r="S811" s="201"/>
      <c r="T811" s="201"/>
      <c r="AB811" s="201"/>
      <c r="AC811" s="201"/>
      <c r="AD811" s="201"/>
      <c r="AE811" s="201"/>
      <c r="AF811" s="201"/>
      <c r="AG811" s="201"/>
      <c r="AH811" s="201"/>
      <c r="AI811" s="201"/>
      <c r="AJ811" s="201"/>
      <c r="AN811" s="201"/>
      <c r="AP811" s="201"/>
      <c r="AT811" s="201"/>
      <c r="AU811" s="201"/>
    </row>
    <row r="812" ht="15.75" customHeight="1">
      <c r="A812" s="200"/>
      <c r="B812" s="201"/>
      <c r="C812" s="201"/>
      <c r="D812" s="201"/>
      <c r="E812" s="201"/>
      <c r="F812" s="201"/>
      <c r="I812" s="201"/>
      <c r="N812" s="201"/>
      <c r="O812" s="201"/>
      <c r="S812" s="201"/>
      <c r="T812" s="201"/>
      <c r="AB812" s="201"/>
      <c r="AC812" s="201"/>
      <c r="AD812" s="201"/>
      <c r="AE812" s="201"/>
      <c r="AF812" s="201"/>
      <c r="AG812" s="201"/>
      <c r="AH812" s="201"/>
      <c r="AI812" s="201"/>
      <c r="AJ812" s="201"/>
      <c r="AN812" s="201"/>
      <c r="AP812" s="201"/>
      <c r="AT812" s="201"/>
      <c r="AU812" s="201"/>
    </row>
    <row r="813" ht="15.75" customHeight="1">
      <c r="A813" s="200"/>
      <c r="B813" s="201"/>
      <c r="C813" s="201"/>
      <c r="D813" s="201"/>
      <c r="E813" s="201"/>
      <c r="F813" s="201"/>
      <c r="I813" s="201"/>
      <c r="N813" s="201"/>
      <c r="O813" s="201"/>
      <c r="S813" s="201"/>
      <c r="T813" s="201"/>
      <c r="AB813" s="201"/>
      <c r="AC813" s="201"/>
      <c r="AD813" s="201"/>
      <c r="AE813" s="201"/>
      <c r="AF813" s="201"/>
      <c r="AG813" s="201"/>
      <c r="AH813" s="201"/>
      <c r="AI813" s="201"/>
      <c r="AJ813" s="201"/>
      <c r="AN813" s="201"/>
      <c r="AP813" s="201"/>
      <c r="AT813" s="201"/>
      <c r="AU813" s="201"/>
    </row>
    <row r="814" ht="15.75" customHeight="1">
      <c r="A814" s="200"/>
      <c r="B814" s="201"/>
      <c r="C814" s="201"/>
      <c r="D814" s="201"/>
      <c r="E814" s="201"/>
      <c r="F814" s="201"/>
      <c r="I814" s="201"/>
      <c r="N814" s="201"/>
      <c r="O814" s="201"/>
      <c r="S814" s="201"/>
      <c r="T814" s="201"/>
      <c r="AB814" s="201"/>
      <c r="AC814" s="201"/>
      <c r="AD814" s="201"/>
      <c r="AE814" s="201"/>
      <c r="AF814" s="201"/>
      <c r="AG814" s="201"/>
      <c r="AH814" s="201"/>
      <c r="AI814" s="201"/>
      <c r="AJ814" s="201"/>
      <c r="AN814" s="201"/>
      <c r="AP814" s="201"/>
      <c r="AT814" s="201"/>
      <c r="AU814" s="201"/>
    </row>
    <row r="815" ht="15.75" customHeight="1">
      <c r="A815" s="200"/>
      <c r="B815" s="201"/>
      <c r="C815" s="201"/>
      <c r="D815" s="201"/>
      <c r="E815" s="201"/>
      <c r="F815" s="201"/>
      <c r="I815" s="201"/>
      <c r="N815" s="201"/>
      <c r="O815" s="201"/>
      <c r="S815" s="201"/>
      <c r="T815" s="201"/>
      <c r="AB815" s="201"/>
      <c r="AC815" s="201"/>
      <c r="AD815" s="201"/>
      <c r="AE815" s="201"/>
      <c r="AF815" s="201"/>
      <c r="AG815" s="201"/>
      <c r="AH815" s="201"/>
      <c r="AI815" s="201"/>
      <c r="AJ815" s="201"/>
      <c r="AN815" s="201"/>
      <c r="AP815" s="201"/>
      <c r="AT815" s="201"/>
      <c r="AU815" s="201"/>
    </row>
    <row r="816" ht="15.75" customHeight="1">
      <c r="A816" s="200"/>
      <c r="B816" s="201"/>
      <c r="C816" s="201"/>
      <c r="D816" s="201"/>
      <c r="E816" s="201"/>
      <c r="F816" s="201"/>
      <c r="I816" s="201"/>
      <c r="N816" s="201"/>
      <c r="O816" s="201"/>
      <c r="S816" s="201"/>
      <c r="T816" s="201"/>
      <c r="AB816" s="201"/>
      <c r="AC816" s="201"/>
      <c r="AD816" s="201"/>
      <c r="AE816" s="201"/>
      <c r="AF816" s="201"/>
      <c r="AG816" s="201"/>
      <c r="AH816" s="201"/>
      <c r="AI816" s="201"/>
      <c r="AJ816" s="201"/>
      <c r="AN816" s="201"/>
      <c r="AP816" s="201"/>
      <c r="AT816" s="201"/>
      <c r="AU816" s="201"/>
    </row>
    <row r="817" ht="15.75" customHeight="1">
      <c r="A817" s="200"/>
      <c r="B817" s="201"/>
      <c r="C817" s="201"/>
      <c r="D817" s="201"/>
      <c r="E817" s="201"/>
      <c r="F817" s="201"/>
      <c r="I817" s="201"/>
      <c r="N817" s="201"/>
      <c r="O817" s="201"/>
      <c r="S817" s="201"/>
      <c r="T817" s="201"/>
      <c r="AB817" s="201"/>
      <c r="AC817" s="201"/>
      <c r="AD817" s="201"/>
      <c r="AE817" s="201"/>
      <c r="AF817" s="201"/>
      <c r="AG817" s="201"/>
      <c r="AH817" s="201"/>
      <c r="AI817" s="201"/>
      <c r="AJ817" s="201"/>
      <c r="AN817" s="201"/>
      <c r="AP817" s="201"/>
      <c r="AT817" s="201"/>
      <c r="AU817" s="201"/>
    </row>
    <row r="818" ht="15.75" customHeight="1">
      <c r="A818" s="200"/>
      <c r="B818" s="201"/>
      <c r="C818" s="201"/>
      <c r="D818" s="201"/>
      <c r="E818" s="201"/>
      <c r="F818" s="201"/>
      <c r="I818" s="201"/>
      <c r="N818" s="201"/>
      <c r="O818" s="201"/>
      <c r="S818" s="201"/>
      <c r="T818" s="201"/>
      <c r="AB818" s="201"/>
      <c r="AC818" s="201"/>
      <c r="AD818" s="201"/>
      <c r="AE818" s="201"/>
      <c r="AF818" s="201"/>
      <c r="AG818" s="201"/>
      <c r="AH818" s="201"/>
      <c r="AI818" s="201"/>
      <c r="AJ818" s="201"/>
      <c r="AN818" s="201"/>
      <c r="AP818" s="201"/>
      <c r="AT818" s="201"/>
      <c r="AU818" s="201"/>
    </row>
    <row r="819" ht="15.75" customHeight="1">
      <c r="A819" s="200"/>
      <c r="B819" s="201"/>
      <c r="C819" s="201"/>
      <c r="D819" s="201"/>
      <c r="E819" s="201"/>
      <c r="F819" s="201"/>
      <c r="I819" s="201"/>
      <c r="N819" s="201"/>
      <c r="O819" s="201"/>
      <c r="S819" s="201"/>
      <c r="T819" s="201"/>
      <c r="AB819" s="201"/>
      <c r="AC819" s="201"/>
      <c r="AD819" s="201"/>
      <c r="AE819" s="201"/>
      <c r="AF819" s="201"/>
      <c r="AG819" s="201"/>
      <c r="AH819" s="201"/>
      <c r="AI819" s="201"/>
      <c r="AJ819" s="201"/>
      <c r="AN819" s="201"/>
      <c r="AP819" s="201"/>
      <c r="AT819" s="201"/>
      <c r="AU819" s="201"/>
    </row>
    <row r="820" ht="15.75" customHeight="1">
      <c r="A820" s="200"/>
      <c r="B820" s="201"/>
      <c r="C820" s="201"/>
      <c r="D820" s="201"/>
      <c r="E820" s="201"/>
      <c r="F820" s="201"/>
      <c r="I820" s="201"/>
      <c r="N820" s="201"/>
      <c r="O820" s="201"/>
      <c r="S820" s="201"/>
      <c r="T820" s="201"/>
      <c r="AB820" s="201"/>
      <c r="AC820" s="201"/>
      <c r="AD820" s="201"/>
      <c r="AE820" s="201"/>
      <c r="AF820" s="201"/>
      <c r="AG820" s="201"/>
      <c r="AH820" s="201"/>
      <c r="AI820" s="201"/>
      <c r="AJ820" s="201"/>
      <c r="AN820" s="201"/>
      <c r="AP820" s="201"/>
      <c r="AT820" s="201"/>
      <c r="AU820" s="201"/>
    </row>
    <row r="821" ht="15.75" customHeight="1">
      <c r="A821" s="200"/>
      <c r="B821" s="201"/>
      <c r="C821" s="201"/>
      <c r="D821" s="201"/>
      <c r="E821" s="201"/>
      <c r="F821" s="201"/>
      <c r="I821" s="201"/>
      <c r="N821" s="201"/>
      <c r="O821" s="201"/>
      <c r="S821" s="201"/>
      <c r="T821" s="201"/>
      <c r="AB821" s="201"/>
      <c r="AC821" s="201"/>
      <c r="AD821" s="201"/>
      <c r="AE821" s="201"/>
      <c r="AF821" s="201"/>
      <c r="AG821" s="201"/>
      <c r="AH821" s="201"/>
      <c r="AI821" s="201"/>
      <c r="AJ821" s="201"/>
      <c r="AN821" s="201"/>
      <c r="AP821" s="201"/>
      <c r="AT821" s="201"/>
      <c r="AU821" s="201"/>
    </row>
    <row r="822" ht="15.75" customHeight="1">
      <c r="A822" s="200"/>
      <c r="B822" s="201"/>
      <c r="C822" s="201"/>
      <c r="D822" s="201"/>
      <c r="E822" s="201"/>
      <c r="F822" s="201"/>
      <c r="I822" s="201"/>
      <c r="N822" s="201"/>
      <c r="O822" s="201"/>
      <c r="S822" s="201"/>
      <c r="T822" s="201"/>
      <c r="AB822" s="201"/>
      <c r="AC822" s="201"/>
      <c r="AD822" s="201"/>
      <c r="AE822" s="201"/>
      <c r="AF822" s="201"/>
      <c r="AG822" s="201"/>
      <c r="AH822" s="201"/>
      <c r="AI822" s="201"/>
      <c r="AJ822" s="201"/>
      <c r="AN822" s="201"/>
      <c r="AP822" s="201"/>
      <c r="AT822" s="201"/>
      <c r="AU822" s="201"/>
    </row>
    <row r="823" ht="15.75" customHeight="1">
      <c r="A823" s="200"/>
      <c r="B823" s="201"/>
      <c r="C823" s="201"/>
      <c r="D823" s="201"/>
      <c r="E823" s="201"/>
      <c r="F823" s="201"/>
      <c r="I823" s="201"/>
      <c r="N823" s="201"/>
      <c r="O823" s="201"/>
      <c r="S823" s="201"/>
      <c r="T823" s="201"/>
      <c r="AB823" s="201"/>
      <c r="AC823" s="201"/>
      <c r="AD823" s="201"/>
      <c r="AE823" s="201"/>
      <c r="AF823" s="201"/>
      <c r="AG823" s="201"/>
      <c r="AH823" s="201"/>
      <c r="AI823" s="201"/>
      <c r="AJ823" s="201"/>
      <c r="AN823" s="201"/>
      <c r="AP823" s="201"/>
      <c r="AT823" s="201"/>
      <c r="AU823" s="201"/>
    </row>
    <row r="824" ht="15.75" customHeight="1">
      <c r="A824" s="200"/>
      <c r="B824" s="201"/>
      <c r="C824" s="201"/>
      <c r="D824" s="201"/>
      <c r="E824" s="201"/>
      <c r="F824" s="201"/>
      <c r="I824" s="201"/>
      <c r="N824" s="201"/>
      <c r="O824" s="201"/>
      <c r="S824" s="201"/>
      <c r="T824" s="201"/>
      <c r="AB824" s="201"/>
      <c r="AC824" s="201"/>
      <c r="AD824" s="201"/>
      <c r="AE824" s="201"/>
      <c r="AF824" s="201"/>
      <c r="AG824" s="201"/>
      <c r="AH824" s="201"/>
      <c r="AI824" s="201"/>
      <c r="AJ824" s="201"/>
      <c r="AN824" s="201"/>
      <c r="AP824" s="201"/>
      <c r="AT824" s="201"/>
      <c r="AU824" s="201"/>
    </row>
    <row r="825" ht="15.75" customHeight="1">
      <c r="A825" s="200"/>
      <c r="B825" s="201"/>
      <c r="C825" s="201"/>
      <c r="D825" s="201"/>
      <c r="E825" s="201"/>
      <c r="F825" s="201"/>
      <c r="I825" s="201"/>
      <c r="N825" s="201"/>
      <c r="O825" s="201"/>
      <c r="S825" s="201"/>
      <c r="T825" s="201"/>
      <c r="AB825" s="201"/>
      <c r="AC825" s="201"/>
      <c r="AD825" s="201"/>
      <c r="AE825" s="201"/>
      <c r="AF825" s="201"/>
      <c r="AG825" s="201"/>
      <c r="AH825" s="201"/>
      <c r="AI825" s="201"/>
      <c r="AJ825" s="201"/>
      <c r="AN825" s="201"/>
      <c r="AP825" s="201"/>
      <c r="AT825" s="201"/>
      <c r="AU825" s="201"/>
    </row>
    <row r="826" ht="15.75" customHeight="1">
      <c r="A826" s="200"/>
      <c r="B826" s="201"/>
      <c r="C826" s="201"/>
      <c r="D826" s="201"/>
      <c r="E826" s="201"/>
      <c r="F826" s="201"/>
      <c r="I826" s="201"/>
      <c r="N826" s="201"/>
      <c r="O826" s="201"/>
      <c r="S826" s="201"/>
      <c r="T826" s="201"/>
      <c r="AB826" s="201"/>
      <c r="AC826" s="201"/>
      <c r="AD826" s="201"/>
      <c r="AE826" s="201"/>
      <c r="AF826" s="201"/>
      <c r="AG826" s="201"/>
      <c r="AH826" s="201"/>
      <c r="AI826" s="201"/>
      <c r="AJ826" s="201"/>
      <c r="AN826" s="201"/>
      <c r="AP826" s="201"/>
      <c r="AT826" s="201"/>
      <c r="AU826" s="201"/>
    </row>
    <row r="827" ht="15.75" customHeight="1">
      <c r="A827" s="200"/>
      <c r="B827" s="201"/>
      <c r="C827" s="201"/>
      <c r="D827" s="201"/>
      <c r="E827" s="201"/>
      <c r="F827" s="201"/>
      <c r="I827" s="201"/>
      <c r="N827" s="201"/>
      <c r="O827" s="201"/>
      <c r="S827" s="201"/>
      <c r="T827" s="201"/>
      <c r="AB827" s="201"/>
      <c r="AC827" s="201"/>
      <c r="AD827" s="201"/>
      <c r="AE827" s="201"/>
      <c r="AF827" s="201"/>
      <c r="AG827" s="201"/>
      <c r="AH827" s="201"/>
      <c r="AI827" s="201"/>
      <c r="AJ827" s="201"/>
      <c r="AN827" s="201"/>
      <c r="AP827" s="201"/>
      <c r="AT827" s="201"/>
      <c r="AU827" s="201"/>
    </row>
    <row r="828" ht="15.75" customHeight="1">
      <c r="A828" s="200"/>
      <c r="B828" s="201"/>
      <c r="C828" s="201"/>
      <c r="D828" s="201"/>
      <c r="E828" s="201"/>
      <c r="F828" s="201"/>
      <c r="I828" s="201"/>
      <c r="N828" s="201"/>
      <c r="O828" s="201"/>
      <c r="S828" s="201"/>
      <c r="T828" s="201"/>
      <c r="AB828" s="201"/>
      <c r="AC828" s="201"/>
      <c r="AD828" s="201"/>
      <c r="AE828" s="201"/>
      <c r="AF828" s="201"/>
      <c r="AG828" s="201"/>
      <c r="AH828" s="201"/>
      <c r="AI828" s="201"/>
      <c r="AJ828" s="201"/>
      <c r="AN828" s="201"/>
      <c r="AP828" s="201"/>
      <c r="AT828" s="201"/>
      <c r="AU828" s="201"/>
    </row>
    <row r="829" ht="15.75" customHeight="1">
      <c r="A829" s="200"/>
      <c r="B829" s="201"/>
      <c r="C829" s="201"/>
      <c r="D829" s="201"/>
      <c r="E829" s="201"/>
      <c r="F829" s="201"/>
      <c r="I829" s="201"/>
      <c r="N829" s="201"/>
      <c r="O829" s="201"/>
      <c r="S829" s="201"/>
      <c r="T829" s="201"/>
      <c r="AB829" s="201"/>
      <c r="AC829" s="201"/>
      <c r="AD829" s="201"/>
      <c r="AE829" s="201"/>
      <c r="AF829" s="201"/>
      <c r="AG829" s="201"/>
      <c r="AH829" s="201"/>
      <c r="AI829" s="201"/>
      <c r="AJ829" s="201"/>
      <c r="AN829" s="201"/>
      <c r="AP829" s="201"/>
      <c r="AT829" s="201"/>
      <c r="AU829" s="201"/>
    </row>
    <row r="830" ht="15.75" customHeight="1">
      <c r="A830" s="200"/>
      <c r="B830" s="201"/>
      <c r="C830" s="201"/>
      <c r="D830" s="201"/>
      <c r="E830" s="201"/>
      <c r="F830" s="201"/>
      <c r="I830" s="201"/>
      <c r="N830" s="201"/>
      <c r="O830" s="201"/>
      <c r="S830" s="201"/>
      <c r="T830" s="201"/>
      <c r="AB830" s="201"/>
      <c r="AC830" s="201"/>
      <c r="AD830" s="201"/>
      <c r="AE830" s="201"/>
      <c r="AF830" s="201"/>
      <c r="AG830" s="201"/>
      <c r="AH830" s="201"/>
      <c r="AI830" s="201"/>
      <c r="AJ830" s="201"/>
      <c r="AN830" s="201"/>
      <c r="AP830" s="201"/>
      <c r="AT830" s="201"/>
      <c r="AU830" s="201"/>
    </row>
    <row r="831" ht="15.75" customHeight="1">
      <c r="A831" s="200"/>
      <c r="B831" s="201"/>
      <c r="C831" s="201"/>
      <c r="D831" s="201"/>
      <c r="E831" s="201"/>
      <c r="F831" s="201"/>
      <c r="I831" s="201"/>
      <c r="N831" s="201"/>
      <c r="O831" s="201"/>
      <c r="S831" s="201"/>
      <c r="T831" s="201"/>
      <c r="AB831" s="201"/>
      <c r="AC831" s="201"/>
      <c r="AD831" s="201"/>
      <c r="AE831" s="201"/>
      <c r="AF831" s="201"/>
      <c r="AG831" s="201"/>
      <c r="AH831" s="201"/>
      <c r="AI831" s="201"/>
      <c r="AJ831" s="201"/>
      <c r="AN831" s="201"/>
      <c r="AP831" s="201"/>
      <c r="AT831" s="201"/>
      <c r="AU831" s="201"/>
    </row>
    <row r="832" ht="15.75" customHeight="1">
      <c r="A832" s="200"/>
      <c r="B832" s="201"/>
      <c r="C832" s="201"/>
      <c r="D832" s="201"/>
      <c r="E832" s="201"/>
      <c r="F832" s="201"/>
      <c r="I832" s="201"/>
      <c r="N832" s="201"/>
      <c r="O832" s="201"/>
      <c r="S832" s="201"/>
      <c r="T832" s="201"/>
      <c r="AB832" s="201"/>
      <c r="AC832" s="201"/>
      <c r="AD832" s="201"/>
      <c r="AE832" s="201"/>
      <c r="AF832" s="201"/>
      <c r="AG832" s="201"/>
      <c r="AH832" s="201"/>
      <c r="AI832" s="201"/>
      <c r="AJ832" s="201"/>
      <c r="AN832" s="201"/>
      <c r="AP832" s="201"/>
      <c r="AT832" s="201"/>
      <c r="AU832" s="201"/>
    </row>
    <row r="833" ht="15.75" customHeight="1">
      <c r="A833" s="200"/>
      <c r="B833" s="201"/>
      <c r="C833" s="201"/>
      <c r="D833" s="201"/>
      <c r="E833" s="201"/>
      <c r="F833" s="201"/>
      <c r="I833" s="201"/>
      <c r="N833" s="201"/>
      <c r="O833" s="201"/>
      <c r="S833" s="201"/>
      <c r="T833" s="201"/>
      <c r="AB833" s="201"/>
      <c r="AC833" s="201"/>
      <c r="AD833" s="201"/>
      <c r="AE833" s="201"/>
      <c r="AF833" s="201"/>
      <c r="AG833" s="201"/>
      <c r="AH833" s="201"/>
      <c r="AI833" s="201"/>
      <c r="AJ833" s="201"/>
      <c r="AN833" s="201"/>
      <c r="AP833" s="201"/>
      <c r="AT833" s="201"/>
      <c r="AU833" s="201"/>
    </row>
    <row r="834" ht="15.75" customHeight="1">
      <c r="A834" s="200"/>
      <c r="B834" s="201"/>
      <c r="C834" s="201"/>
      <c r="D834" s="201"/>
      <c r="E834" s="201"/>
      <c r="F834" s="201"/>
      <c r="I834" s="201"/>
      <c r="N834" s="201"/>
      <c r="O834" s="201"/>
      <c r="S834" s="201"/>
      <c r="T834" s="201"/>
      <c r="AB834" s="201"/>
      <c r="AC834" s="201"/>
      <c r="AD834" s="201"/>
      <c r="AE834" s="201"/>
      <c r="AF834" s="201"/>
      <c r="AG834" s="201"/>
      <c r="AH834" s="201"/>
      <c r="AI834" s="201"/>
      <c r="AJ834" s="201"/>
      <c r="AN834" s="201"/>
      <c r="AP834" s="201"/>
      <c r="AT834" s="201"/>
      <c r="AU834" s="201"/>
    </row>
    <row r="835" ht="15.75" customHeight="1">
      <c r="A835" s="200"/>
      <c r="B835" s="201"/>
      <c r="C835" s="201"/>
      <c r="D835" s="201"/>
      <c r="E835" s="201"/>
      <c r="F835" s="201"/>
      <c r="I835" s="201"/>
      <c r="N835" s="201"/>
      <c r="O835" s="201"/>
      <c r="S835" s="201"/>
      <c r="T835" s="201"/>
      <c r="AB835" s="201"/>
      <c r="AC835" s="201"/>
      <c r="AD835" s="201"/>
      <c r="AE835" s="201"/>
      <c r="AF835" s="201"/>
      <c r="AG835" s="201"/>
      <c r="AH835" s="201"/>
      <c r="AI835" s="201"/>
      <c r="AJ835" s="201"/>
      <c r="AN835" s="201"/>
      <c r="AP835" s="201"/>
      <c r="AT835" s="201"/>
      <c r="AU835" s="201"/>
    </row>
    <row r="836" ht="15.75" customHeight="1">
      <c r="A836" s="200"/>
      <c r="B836" s="201"/>
      <c r="C836" s="201"/>
      <c r="D836" s="201"/>
      <c r="E836" s="201"/>
      <c r="F836" s="201"/>
      <c r="I836" s="201"/>
      <c r="N836" s="201"/>
      <c r="O836" s="201"/>
      <c r="S836" s="201"/>
      <c r="T836" s="201"/>
      <c r="AB836" s="201"/>
      <c r="AC836" s="201"/>
      <c r="AD836" s="201"/>
      <c r="AE836" s="201"/>
      <c r="AF836" s="201"/>
      <c r="AG836" s="201"/>
      <c r="AH836" s="201"/>
      <c r="AI836" s="201"/>
      <c r="AJ836" s="201"/>
      <c r="AN836" s="201"/>
      <c r="AP836" s="201"/>
      <c r="AT836" s="201"/>
      <c r="AU836" s="201"/>
    </row>
    <row r="837" ht="15.75" customHeight="1">
      <c r="A837" s="200"/>
      <c r="B837" s="201"/>
      <c r="C837" s="201"/>
      <c r="D837" s="201"/>
      <c r="E837" s="201"/>
      <c r="F837" s="201"/>
      <c r="I837" s="201"/>
      <c r="N837" s="201"/>
      <c r="O837" s="201"/>
      <c r="S837" s="201"/>
      <c r="T837" s="201"/>
      <c r="AB837" s="201"/>
      <c r="AC837" s="201"/>
      <c r="AD837" s="201"/>
      <c r="AE837" s="201"/>
      <c r="AF837" s="201"/>
      <c r="AG837" s="201"/>
      <c r="AH837" s="201"/>
      <c r="AI837" s="201"/>
      <c r="AJ837" s="201"/>
      <c r="AN837" s="201"/>
      <c r="AP837" s="201"/>
      <c r="AT837" s="201"/>
      <c r="AU837" s="201"/>
    </row>
    <row r="838" ht="15.75" customHeight="1">
      <c r="A838" s="200"/>
      <c r="B838" s="201"/>
      <c r="C838" s="201"/>
      <c r="D838" s="201"/>
      <c r="E838" s="201"/>
      <c r="F838" s="201"/>
      <c r="I838" s="201"/>
      <c r="N838" s="201"/>
      <c r="O838" s="201"/>
      <c r="S838" s="201"/>
      <c r="T838" s="201"/>
      <c r="AB838" s="201"/>
      <c r="AC838" s="201"/>
      <c r="AD838" s="201"/>
      <c r="AE838" s="201"/>
      <c r="AF838" s="201"/>
      <c r="AG838" s="201"/>
      <c r="AH838" s="201"/>
      <c r="AI838" s="201"/>
      <c r="AJ838" s="201"/>
      <c r="AN838" s="201"/>
      <c r="AP838" s="201"/>
      <c r="AT838" s="201"/>
      <c r="AU838" s="201"/>
    </row>
    <row r="839" ht="15.75" customHeight="1">
      <c r="A839" s="200"/>
      <c r="B839" s="201"/>
      <c r="C839" s="201"/>
      <c r="D839" s="201"/>
      <c r="E839" s="201"/>
      <c r="F839" s="201"/>
      <c r="I839" s="201"/>
      <c r="N839" s="201"/>
      <c r="O839" s="201"/>
      <c r="S839" s="201"/>
      <c r="T839" s="201"/>
      <c r="AB839" s="201"/>
      <c r="AC839" s="201"/>
      <c r="AD839" s="201"/>
      <c r="AE839" s="201"/>
      <c r="AF839" s="201"/>
      <c r="AG839" s="201"/>
      <c r="AH839" s="201"/>
      <c r="AI839" s="201"/>
      <c r="AJ839" s="201"/>
      <c r="AN839" s="201"/>
      <c r="AP839" s="201"/>
      <c r="AT839" s="201"/>
      <c r="AU839" s="201"/>
    </row>
    <row r="840" ht="15.75" customHeight="1">
      <c r="A840" s="200"/>
      <c r="B840" s="201"/>
      <c r="C840" s="201"/>
      <c r="D840" s="201"/>
      <c r="E840" s="201"/>
      <c r="F840" s="201"/>
      <c r="I840" s="201"/>
      <c r="N840" s="201"/>
      <c r="O840" s="201"/>
      <c r="S840" s="201"/>
      <c r="T840" s="201"/>
      <c r="AB840" s="201"/>
      <c r="AC840" s="201"/>
      <c r="AD840" s="201"/>
      <c r="AE840" s="201"/>
      <c r="AF840" s="201"/>
      <c r="AG840" s="201"/>
      <c r="AH840" s="201"/>
      <c r="AI840" s="201"/>
      <c r="AJ840" s="201"/>
      <c r="AN840" s="201"/>
      <c r="AP840" s="201"/>
      <c r="AT840" s="201"/>
      <c r="AU840" s="201"/>
    </row>
    <row r="841" ht="15.75" customHeight="1">
      <c r="A841" s="200"/>
      <c r="B841" s="201"/>
      <c r="C841" s="201"/>
      <c r="D841" s="201"/>
      <c r="E841" s="201"/>
      <c r="F841" s="201"/>
      <c r="I841" s="201"/>
      <c r="N841" s="201"/>
      <c r="O841" s="201"/>
      <c r="S841" s="201"/>
      <c r="T841" s="201"/>
      <c r="AB841" s="201"/>
      <c r="AC841" s="201"/>
      <c r="AD841" s="201"/>
      <c r="AE841" s="201"/>
      <c r="AF841" s="201"/>
      <c r="AG841" s="201"/>
      <c r="AH841" s="201"/>
      <c r="AI841" s="201"/>
      <c r="AJ841" s="201"/>
      <c r="AN841" s="201"/>
      <c r="AP841" s="201"/>
      <c r="AT841" s="201"/>
      <c r="AU841" s="201"/>
    </row>
    <row r="842" ht="15.75" customHeight="1">
      <c r="A842" s="200"/>
      <c r="B842" s="201"/>
      <c r="C842" s="201"/>
      <c r="D842" s="201"/>
      <c r="E842" s="201"/>
      <c r="F842" s="201"/>
      <c r="I842" s="201"/>
      <c r="N842" s="201"/>
      <c r="O842" s="201"/>
      <c r="S842" s="201"/>
      <c r="T842" s="201"/>
      <c r="AB842" s="201"/>
      <c r="AC842" s="201"/>
      <c r="AD842" s="201"/>
      <c r="AE842" s="201"/>
      <c r="AF842" s="201"/>
      <c r="AG842" s="201"/>
      <c r="AH842" s="201"/>
      <c r="AI842" s="201"/>
      <c r="AJ842" s="201"/>
      <c r="AN842" s="201"/>
      <c r="AP842" s="201"/>
      <c r="AT842" s="201"/>
      <c r="AU842" s="201"/>
    </row>
    <row r="843" ht="15.75" customHeight="1">
      <c r="A843" s="200"/>
      <c r="B843" s="201"/>
      <c r="C843" s="201"/>
      <c r="D843" s="201"/>
      <c r="E843" s="201"/>
      <c r="F843" s="201"/>
      <c r="I843" s="201"/>
      <c r="N843" s="201"/>
      <c r="O843" s="201"/>
      <c r="S843" s="201"/>
      <c r="T843" s="201"/>
      <c r="AB843" s="201"/>
      <c r="AC843" s="201"/>
      <c r="AD843" s="201"/>
      <c r="AE843" s="201"/>
      <c r="AF843" s="201"/>
      <c r="AG843" s="201"/>
      <c r="AH843" s="201"/>
      <c r="AI843" s="201"/>
      <c r="AJ843" s="201"/>
      <c r="AN843" s="201"/>
      <c r="AP843" s="201"/>
      <c r="AT843" s="201"/>
      <c r="AU843" s="201"/>
    </row>
    <row r="844" ht="15.75" customHeight="1">
      <c r="A844" s="200"/>
      <c r="B844" s="201"/>
      <c r="C844" s="201"/>
      <c r="D844" s="201"/>
      <c r="E844" s="201"/>
      <c r="F844" s="201"/>
      <c r="I844" s="201"/>
      <c r="N844" s="201"/>
      <c r="O844" s="201"/>
      <c r="S844" s="201"/>
      <c r="T844" s="201"/>
      <c r="AB844" s="201"/>
      <c r="AC844" s="201"/>
      <c r="AD844" s="201"/>
      <c r="AE844" s="201"/>
      <c r="AF844" s="201"/>
      <c r="AG844" s="201"/>
      <c r="AH844" s="201"/>
      <c r="AI844" s="201"/>
      <c r="AJ844" s="201"/>
      <c r="AN844" s="201"/>
      <c r="AP844" s="201"/>
      <c r="AT844" s="201"/>
      <c r="AU844" s="201"/>
    </row>
    <row r="845" ht="15.75" customHeight="1">
      <c r="A845" s="200"/>
      <c r="B845" s="201"/>
      <c r="C845" s="201"/>
      <c r="D845" s="201"/>
      <c r="E845" s="201"/>
      <c r="F845" s="201"/>
      <c r="I845" s="201"/>
      <c r="N845" s="201"/>
      <c r="O845" s="201"/>
      <c r="S845" s="201"/>
      <c r="T845" s="201"/>
      <c r="AB845" s="201"/>
      <c r="AC845" s="201"/>
      <c r="AD845" s="201"/>
      <c r="AE845" s="201"/>
      <c r="AF845" s="201"/>
      <c r="AG845" s="201"/>
      <c r="AH845" s="201"/>
      <c r="AI845" s="201"/>
      <c r="AJ845" s="201"/>
      <c r="AN845" s="201"/>
      <c r="AP845" s="201"/>
      <c r="AT845" s="201"/>
      <c r="AU845" s="201"/>
    </row>
    <row r="846" ht="15.75" customHeight="1">
      <c r="A846" s="200"/>
      <c r="B846" s="201"/>
      <c r="C846" s="201"/>
      <c r="D846" s="201"/>
      <c r="E846" s="201"/>
      <c r="F846" s="201"/>
      <c r="I846" s="201"/>
      <c r="N846" s="201"/>
      <c r="O846" s="201"/>
      <c r="S846" s="201"/>
      <c r="T846" s="201"/>
      <c r="AB846" s="201"/>
      <c r="AC846" s="201"/>
      <c r="AD846" s="201"/>
      <c r="AE846" s="201"/>
      <c r="AF846" s="201"/>
      <c r="AG846" s="201"/>
      <c r="AH846" s="201"/>
      <c r="AI846" s="201"/>
      <c r="AJ846" s="201"/>
      <c r="AN846" s="201"/>
      <c r="AP846" s="201"/>
      <c r="AT846" s="201"/>
      <c r="AU846" s="201"/>
    </row>
    <row r="847" ht="15.75" customHeight="1">
      <c r="A847" s="200"/>
      <c r="B847" s="201"/>
      <c r="C847" s="201"/>
      <c r="D847" s="201"/>
      <c r="E847" s="201"/>
      <c r="F847" s="201"/>
      <c r="I847" s="201"/>
      <c r="N847" s="201"/>
      <c r="O847" s="201"/>
      <c r="S847" s="201"/>
      <c r="T847" s="201"/>
      <c r="AB847" s="201"/>
      <c r="AC847" s="201"/>
      <c r="AD847" s="201"/>
      <c r="AE847" s="201"/>
      <c r="AF847" s="201"/>
      <c r="AG847" s="201"/>
      <c r="AH847" s="201"/>
      <c r="AI847" s="201"/>
      <c r="AJ847" s="201"/>
      <c r="AN847" s="201"/>
      <c r="AP847" s="201"/>
      <c r="AT847" s="201"/>
      <c r="AU847" s="201"/>
    </row>
    <row r="848" ht="15.75" customHeight="1">
      <c r="A848" s="200"/>
      <c r="B848" s="201"/>
      <c r="C848" s="201"/>
      <c r="D848" s="201"/>
      <c r="E848" s="201"/>
      <c r="F848" s="201"/>
      <c r="I848" s="201"/>
      <c r="N848" s="201"/>
      <c r="O848" s="201"/>
      <c r="S848" s="201"/>
      <c r="T848" s="201"/>
      <c r="AB848" s="201"/>
      <c r="AC848" s="201"/>
      <c r="AD848" s="201"/>
      <c r="AE848" s="201"/>
      <c r="AF848" s="201"/>
      <c r="AG848" s="201"/>
      <c r="AH848" s="201"/>
      <c r="AI848" s="201"/>
      <c r="AJ848" s="201"/>
      <c r="AN848" s="201"/>
      <c r="AP848" s="201"/>
      <c r="AT848" s="201"/>
      <c r="AU848" s="201"/>
    </row>
    <row r="849" ht="15.75" customHeight="1">
      <c r="A849" s="200"/>
      <c r="B849" s="201"/>
      <c r="C849" s="201"/>
      <c r="D849" s="201"/>
      <c r="E849" s="201"/>
      <c r="F849" s="201"/>
      <c r="I849" s="201"/>
      <c r="N849" s="201"/>
      <c r="O849" s="201"/>
      <c r="S849" s="201"/>
      <c r="T849" s="201"/>
      <c r="AB849" s="201"/>
      <c r="AC849" s="201"/>
      <c r="AD849" s="201"/>
      <c r="AE849" s="201"/>
      <c r="AF849" s="201"/>
      <c r="AG849" s="201"/>
      <c r="AH849" s="201"/>
      <c r="AI849" s="201"/>
      <c r="AJ849" s="201"/>
      <c r="AN849" s="201"/>
      <c r="AP849" s="201"/>
      <c r="AT849" s="201"/>
      <c r="AU849" s="201"/>
    </row>
    <row r="850" ht="15.75" customHeight="1">
      <c r="A850" s="200"/>
      <c r="B850" s="201"/>
      <c r="C850" s="201"/>
      <c r="D850" s="201"/>
      <c r="E850" s="201"/>
      <c r="F850" s="201"/>
      <c r="I850" s="201"/>
      <c r="N850" s="201"/>
      <c r="O850" s="201"/>
      <c r="S850" s="201"/>
      <c r="T850" s="201"/>
      <c r="AB850" s="201"/>
      <c r="AC850" s="201"/>
      <c r="AD850" s="201"/>
      <c r="AE850" s="201"/>
      <c r="AF850" s="201"/>
      <c r="AG850" s="201"/>
      <c r="AH850" s="201"/>
      <c r="AI850" s="201"/>
      <c r="AJ850" s="201"/>
      <c r="AN850" s="201"/>
      <c r="AP850" s="201"/>
      <c r="AT850" s="201"/>
      <c r="AU850" s="201"/>
    </row>
    <row r="851" ht="15.75" customHeight="1">
      <c r="A851" s="200"/>
      <c r="B851" s="201"/>
      <c r="C851" s="201"/>
      <c r="D851" s="201"/>
      <c r="E851" s="201"/>
      <c r="F851" s="201"/>
      <c r="I851" s="201"/>
      <c r="N851" s="201"/>
      <c r="O851" s="201"/>
      <c r="S851" s="201"/>
      <c r="T851" s="201"/>
      <c r="AB851" s="201"/>
      <c r="AC851" s="201"/>
      <c r="AD851" s="201"/>
      <c r="AE851" s="201"/>
      <c r="AF851" s="201"/>
      <c r="AG851" s="201"/>
      <c r="AH851" s="201"/>
      <c r="AI851" s="201"/>
      <c r="AJ851" s="201"/>
      <c r="AN851" s="201"/>
      <c r="AP851" s="201"/>
      <c r="AT851" s="201"/>
      <c r="AU851" s="201"/>
    </row>
    <row r="852" ht="15.75" customHeight="1">
      <c r="A852" s="200"/>
      <c r="B852" s="201"/>
      <c r="C852" s="201"/>
      <c r="D852" s="201"/>
      <c r="E852" s="201"/>
      <c r="F852" s="201"/>
      <c r="I852" s="201"/>
      <c r="N852" s="201"/>
      <c r="O852" s="201"/>
      <c r="S852" s="201"/>
      <c r="T852" s="201"/>
      <c r="AB852" s="201"/>
      <c r="AC852" s="201"/>
      <c r="AD852" s="201"/>
      <c r="AE852" s="201"/>
      <c r="AF852" s="201"/>
      <c r="AG852" s="201"/>
      <c r="AH852" s="201"/>
      <c r="AI852" s="201"/>
      <c r="AJ852" s="201"/>
      <c r="AN852" s="201"/>
      <c r="AP852" s="201"/>
      <c r="AT852" s="201"/>
      <c r="AU852" s="201"/>
    </row>
    <row r="853" ht="15.75" customHeight="1">
      <c r="A853" s="200"/>
      <c r="B853" s="201"/>
      <c r="C853" s="201"/>
      <c r="D853" s="201"/>
      <c r="E853" s="201"/>
      <c r="F853" s="201"/>
      <c r="I853" s="201"/>
      <c r="N853" s="201"/>
      <c r="O853" s="201"/>
      <c r="S853" s="201"/>
      <c r="T853" s="201"/>
      <c r="AB853" s="201"/>
      <c r="AC853" s="201"/>
      <c r="AD853" s="201"/>
      <c r="AE853" s="201"/>
      <c r="AF853" s="201"/>
      <c r="AG853" s="201"/>
      <c r="AH853" s="201"/>
      <c r="AI853" s="201"/>
      <c r="AJ853" s="201"/>
      <c r="AN853" s="201"/>
      <c r="AP853" s="201"/>
      <c r="AT853" s="201"/>
      <c r="AU853" s="201"/>
    </row>
    <row r="854" ht="15.75" customHeight="1">
      <c r="A854" s="200"/>
      <c r="B854" s="201"/>
      <c r="C854" s="201"/>
      <c r="D854" s="201"/>
      <c r="E854" s="201"/>
      <c r="F854" s="201"/>
      <c r="I854" s="201"/>
      <c r="N854" s="201"/>
      <c r="O854" s="201"/>
      <c r="S854" s="201"/>
      <c r="T854" s="201"/>
      <c r="AB854" s="201"/>
      <c r="AC854" s="201"/>
      <c r="AD854" s="201"/>
      <c r="AE854" s="201"/>
      <c r="AF854" s="201"/>
      <c r="AG854" s="201"/>
      <c r="AH854" s="201"/>
      <c r="AI854" s="201"/>
      <c r="AJ854" s="201"/>
      <c r="AN854" s="201"/>
      <c r="AP854" s="201"/>
      <c r="AT854" s="201"/>
      <c r="AU854" s="201"/>
    </row>
    <row r="855" ht="15.75" customHeight="1">
      <c r="A855" s="200"/>
      <c r="B855" s="201"/>
      <c r="C855" s="201"/>
      <c r="D855" s="201"/>
      <c r="E855" s="201"/>
      <c r="F855" s="201"/>
      <c r="I855" s="201"/>
      <c r="N855" s="201"/>
      <c r="O855" s="201"/>
      <c r="S855" s="201"/>
      <c r="T855" s="201"/>
      <c r="AB855" s="201"/>
      <c r="AC855" s="201"/>
      <c r="AD855" s="201"/>
      <c r="AE855" s="201"/>
      <c r="AF855" s="201"/>
      <c r="AG855" s="201"/>
      <c r="AH855" s="201"/>
      <c r="AI855" s="201"/>
      <c r="AJ855" s="201"/>
      <c r="AN855" s="201"/>
      <c r="AP855" s="201"/>
      <c r="AT855" s="201"/>
      <c r="AU855" s="201"/>
    </row>
    <row r="856" ht="15.75" customHeight="1">
      <c r="A856" s="200"/>
      <c r="B856" s="201"/>
      <c r="C856" s="201"/>
      <c r="D856" s="201"/>
      <c r="E856" s="201"/>
      <c r="F856" s="201"/>
      <c r="I856" s="201"/>
      <c r="N856" s="201"/>
      <c r="O856" s="201"/>
      <c r="S856" s="201"/>
      <c r="T856" s="201"/>
      <c r="AB856" s="201"/>
      <c r="AC856" s="201"/>
      <c r="AD856" s="201"/>
      <c r="AE856" s="201"/>
      <c r="AF856" s="201"/>
      <c r="AG856" s="201"/>
      <c r="AH856" s="201"/>
      <c r="AI856" s="201"/>
      <c r="AJ856" s="201"/>
      <c r="AN856" s="201"/>
      <c r="AP856" s="201"/>
      <c r="AT856" s="201"/>
      <c r="AU856" s="201"/>
    </row>
    <row r="857" ht="15.75" customHeight="1">
      <c r="A857" s="200"/>
      <c r="B857" s="201"/>
      <c r="C857" s="201"/>
      <c r="D857" s="201"/>
      <c r="E857" s="201"/>
      <c r="F857" s="201"/>
      <c r="I857" s="201"/>
      <c r="N857" s="201"/>
      <c r="O857" s="201"/>
      <c r="S857" s="201"/>
      <c r="T857" s="201"/>
      <c r="AB857" s="201"/>
      <c r="AC857" s="201"/>
      <c r="AD857" s="201"/>
      <c r="AE857" s="201"/>
      <c r="AF857" s="201"/>
      <c r="AG857" s="201"/>
      <c r="AH857" s="201"/>
      <c r="AI857" s="201"/>
      <c r="AJ857" s="201"/>
      <c r="AN857" s="201"/>
      <c r="AP857" s="201"/>
      <c r="AT857" s="201"/>
      <c r="AU857" s="201"/>
    </row>
    <row r="858" ht="15.75" customHeight="1">
      <c r="A858" s="200"/>
      <c r="B858" s="201"/>
      <c r="C858" s="201"/>
      <c r="D858" s="201"/>
      <c r="E858" s="201"/>
      <c r="F858" s="201"/>
      <c r="I858" s="201"/>
      <c r="N858" s="201"/>
      <c r="O858" s="201"/>
      <c r="S858" s="201"/>
      <c r="T858" s="201"/>
      <c r="AB858" s="201"/>
      <c r="AC858" s="201"/>
      <c r="AD858" s="201"/>
      <c r="AE858" s="201"/>
      <c r="AF858" s="201"/>
      <c r="AG858" s="201"/>
      <c r="AH858" s="201"/>
      <c r="AI858" s="201"/>
      <c r="AJ858" s="201"/>
      <c r="AN858" s="201"/>
      <c r="AP858" s="201"/>
      <c r="AT858" s="201"/>
      <c r="AU858" s="201"/>
    </row>
    <row r="859" ht="15.75" customHeight="1">
      <c r="A859" s="200"/>
      <c r="B859" s="201"/>
      <c r="C859" s="201"/>
      <c r="D859" s="201"/>
      <c r="E859" s="201"/>
      <c r="F859" s="201"/>
      <c r="I859" s="201"/>
      <c r="N859" s="201"/>
      <c r="O859" s="201"/>
      <c r="S859" s="201"/>
      <c r="T859" s="201"/>
      <c r="AB859" s="201"/>
      <c r="AC859" s="201"/>
      <c r="AD859" s="201"/>
      <c r="AE859" s="201"/>
      <c r="AF859" s="201"/>
      <c r="AG859" s="201"/>
      <c r="AH859" s="201"/>
      <c r="AI859" s="201"/>
      <c r="AJ859" s="201"/>
      <c r="AN859" s="201"/>
      <c r="AP859" s="201"/>
      <c r="AT859" s="201"/>
      <c r="AU859" s="201"/>
    </row>
    <row r="860" ht="15.75" customHeight="1">
      <c r="A860" s="200"/>
      <c r="B860" s="201"/>
      <c r="C860" s="201"/>
      <c r="D860" s="201"/>
      <c r="E860" s="201"/>
      <c r="F860" s="201"/>
      <c r="I860" s="201"/>
      <c r="N860" s="201"/>
      <c r="O860" s="201"/>
      <c r="S860" s="201"/>
      <c r="T860" s="201"/>
      <c r="AB860" s="201"/>
      <c r="AC860" s="201"/>
      <c r="AD860" s="201"/>
      <c r="AE860" s="201"/>
      <c r="AF860" s="201"/>
      <c r="AG860" s="201"/>
      <c r="AH860" s="201"/>
      <c r="AI860" s="201"/>
      <c r="AJ860" s="201"/>
      <c r="AN860" s="201"/>
      <c r="AP860" s="201"/>
      <c r="AT860" s="201"/>
      <c r="AU860" s="201"/>
    </row>
    <row r="861" ht="15.75" customHeight="1">
      <c r="A861" s="200"/>
      <c r="B861" s="201"/>
      <c r="C861" s="201"/>
      <c r="D861" s="201"/>
      <c r="E861" s="201"/>
      <c r="F861" s="201"/>
      <c r="I861" s="201"/>
      <c r="N861" s="201"/>
      <c r="O861" s="201"/>
      <c r="S861" s="201"/>
      <c r="T861" s="201"/>
      <c r="AB861" s="201"/>
      <c r="AC861" s="201"/>
      <c r="AD861" s="201"/>
      <c r="AE861" s="201"/>
      <c r="AF861" s="201"/>
      <c r="AG861" s="201"/>
      <c r="AH861" s="201"/>
      <c r="AI861" s="201"/>
      <c r="AJ861" s="201"/>
      <c r="AN861" s="201"/>
      <c r="AP861" s="201"/>
      <c r="AT861" s="201"/>
      <c r="AU861" s="201"/>
    </row>
    <row r="862" ht="15.75" customHeight="1">
      <c r="A862" s="200"/>
      <c r="B862" s="201"/>
      <c r="C862" s="201"/>
      <c r="D862" s="201"/>
      <c r="E862" s="201"/>
      <c r="F862" s="201"/>
      <c r="I862" s="201"/>
      <c r="N862" s="201"/>
      <c r="O862" s="201"/>
      <c r="S862" s="201"/>
      <c r="T862" s="201"/>
      <c r="AB862" s="201"/>
      <c r="AC862" s="201"/>
      <c r="AD862" s="201"/>
      <c r="AE862" s="201"/>
      <c r="AF862" s="201"/>
      <c r="AG862" s="201"/>
      <c r="AH862" s="201"/>
      <c r="AI862" s="201"/>
      <c r="AJ862" s="201"/>
      <c r="AN862" s="201"/>
      <c r="AP862" s="201"/>
      <c r="AT862" s="201"/>
      <c r="AU862" s="201"/>
    </row>
    <row r="863" ht="15.75" customHeight="1">
      <c r="A863" s="200"/>
      <c r="B863" s="201"/>
      <c r="C863" s="201"/>
      <c r="D863" s="201"/>
      <c r="E863" s="201"/>
      <c r="F863" s="201"/>
      <c r="I863" s="201"/>
      <c r="N863" s="201"/>
      <c r="O863" s="201"/>
      <c r="S863" s="201"/>
      <c r="T863" s="201"/>
      <c r="AB863" s="201"/>
      <c r="AC863" s="201"/>
      <c r="AD863" s="201"/>
      <c r="AE863" s="201"/>
      <c r="AF863" s="201"/>
      <c r="AG863" s="201"/>
      <c r="AH863" s="201"/>
      <c r="AI863" s="201"/>
      <c r="AJ863" s="201"/>
      <c r="AN863" s="201"/>
      <c r="AP863" s="201"/>
      <c r="AT863" s="201"/>
      <c r="AU863" s="201"/>
    </row>
    <row r="864" ht="15.75" customHeight="1">
      <c r="A864" s="200"/>
      <c r="B864" s="201"/>
      <c r="C864" s="201"/>
      <c r="D864" s="201"/>
      <c r="E864" s="201"/>
      <c r="F864" s="201"/>
      <c r="I864" s="201"/>
      <c r="N864" s="201"/>
      <c r="O864" s="201"/>
      <c r="S864" s="201"/>
      <c r="T864" s="201"/>
      <c r="AB864" s="201"/>
      <c r="AC864" s="201"/>
      <c r="AD864" s="201"/>
      <c r="AE864" s="201"/>
      <c r="AF864" s="201"/>
      <c r="AG864" s="201"/>
      <c r="AH864" s="201"/>
      <c r="AI864" s="201"/>
      <c r="AJ864" s="201"/>
      <c r="AN864" s="201"/>
      <c r="AP864" s="201"/>
      <c r="AT864" s="201"/>
      <c r="AU864" s="201"/>
    </row>
    <row r="865" ht="15.75" customHeight="1">
      <c r="A865" s="200"/>
      <c r="B865" s="201"/>
      <c r="C865" s="201"/>
      <c r="D865" s="201"/>
      <c r="E865" s="201"/>
      <c r="F865" s="201"/>
      <c r="I865" s="201"/>
      <c r="N865" s="201"/>
      <c r="O865" s="201"/>
      <c r="S865" s="201"/>
      <c r="T865" s="201"/>
      <c r="AB865" s="201"/>
      <c r="AC865" s="201"/>
      <c r="AD865" s="201"/>
      <c r="AE865" s="201"/>
      <c r="AF865" s="201"/>
      <c r="AG865" s="201"/>
      <c r="AH865" s="201"/>
      <c r="AI865" s="201"/>
      <c r="AJ865" s="201"/>
      <c r="AN865" s="201"/>
      <c r="AP865" s="201"/>
      <c r="AT865" s="201"/>
      <c r="AU865" s="201"/>
    </row>
    <row r="866" ht="15.75" customHeight="1">
      <c r="A866" s="200"/>
      <c r="B866" s="201"/>
      <c r="C866" s="201"/>
      <c r="D866" s="201"/>
      <c r="E866" s="201"/>
      <c r="F866" s="201"/>
      <c r="I866" s="201"/>
      <c r="N866" s="201"/>
      <c r="O866" s="201"/>
      <c r="S866" s="201"/>
      <c r="T866" s="201"/>
      <c r="AB866" s="201"/>
      <c r="AC866" s="201"/>
      <c r="AD866" s="201"/>
      <c r="AE866" s="201"/>
      <c r="AF866" s="201"/>
      <c r="AG866" s="201"/>
      <c r="AH866" s="201"/>
      <c r="AI866" s="201"/>
      <c r="AJ866" s="201"/>
      <c r="AN866" s="201"/>
      <c r="AP866" s="201"/>
      <c r="AT866" s="201"/>
      <c r="AU866" s="201"/>
    </row>
    <row r="867" ht="15.75" customHeight="1">
      <c r="A867" s="200"/>
      <c r="B867" s="201"/>
      <c r="C867" s="201"/>
      <c r="D867" s="201"/>
      <c r="E867" s="201"/>
      <c r="F867" s="201"/>
      <c r="I867" s="201"/>
      <c r="N867" s="201"/>
      <c r="O867" s="201"/>
      <c r="S867" s="201"/>
      <c r="T867" s="201"/>
      <c r="AB867" s="201"/>
      <c r="AC867" s="201"/>
      <c r="AD867" s="201"/>
      <c r="AE867" s="201"/>
      <c r="AF867" s="201"/>
      <c r="AG867" s="201"/>
      <c r="AH867" s="201"/>
      <c r="AI867" s="201"/>
      <c r="AJ867" s="201"/>
      <c r="AN867" s="201"/>
      <c r="AP867" s="201"/>
      <c r="AT867" s="201"/>
      <c r="AU867" s="201"/>
    </row>
    <row r="868" ht="15.75" customHeight="1">
      <c r="A868" s="200"/>
      <c r="B868" s="201"/>
      <c r="C868" s="201"/>
      <c r="D868" s="201"/>
      <c r="E868" s="201"/>
      <c r="F868" s="201"/>
      <c r="I868" s="201"/>
      <c r="N868" s="201"/>
      <c r="O868" s="201"/>
      <c r="S868" s="201"/>
      <c r="T868" s="201"/>
      <c r="AB868" s="201"/>
      <c r="AC868" s="201"/>
      <c r="AD868" s="201"/>
      <c r="AE868" s="201"/>
      <c r="AF868" s="201"/>
      <c r="AG868" s="201"/>
      <c r="AH868" s="201"/>
      <c r="AI868" s="201"/>
      <c r="AJ868" s="201"/>
      <c r="AN868" s="201"/>
      <c r="AP868" s="201"/>
      <c r="AT868" s="201"/>
      <c r="AU868" s="201"/>
    </row>
    <row r="869" ht="15.75" customHeight="1">
      <c r="A869" s="200"/>
      <c r="B869" s="201"/>
      <c r="C869" s="201"/>
      <c r="D869" s="201"/>
      <c r="E869" s="201"/>
      <c r="F869" s="201"/>
      <c r="I869" s="201"/>
      <c r="N869" s="201"/>
      <c r="O869" s="201"/>
      <c r="S869" s="201"/>
      <c r="T869" s="201"/>
      <c r="AB869" s="201"/>
      <c r="AC869" s="201"/>
      <c r="AD869" s="201"/>
      <c r="AE869" s="201"/>
      <c r="AF869" s="201"/>
      <c r="AG869" s="201"/>
      <c r="AH869" s="201"/>
      <c r="AI869" s="201"/>
      <c r="AJ869" s="201"/>
      <c r="AN869" s="201"/>
      <c r="AP869" s="201"/>
      <c r="AT869" s="201"/>
      <c r="AU869" s="201"/>
    </row>
    <row r="870" ht="15.75" customHeight="1">
      <c r="A870" s="200"/>
      <c r="B870" s="201"/>
      <c r="C870" s="201"/>
      <c r="D870" s="201"/>
      <c r="E870" s="201"/>
      <c r="F870" s="201"/>
      <c r="I870" s="201"/>
      <c r="N870" s="201"/>
      <c r="O870" s="201"/>
      <c r="S870" s="201"/>
      <c r="T870" s="201"/>
      <c r="AB870" s="201"/>
      <c r="AC870" s="201"/>
      <c r="AD870" s="201"/>
      <c r="AE870" s="201"/>
      <c r="AF870" s="201"/>
      <c r="AG870" s="201"/>
      <c r="AH870" s="201"/>
      <c r="AI870" s="201"/>
      <c r="AJ870" s="201"/>
      <c r="AN870" s="201"/>
      <c r="AP870" s="201"/>
      <c r="AT870" s="201"/>
      <c r="AU870" s="201"/>
    </row>
    <row r="871" ht="15.75" customHeight="1">
      <c r="A871" s="200"/>
      <c r="B871" s="201"/>
      <c r="C871" s="201"/>
      <c r="D871" s="201"/>
      <c r="E871" s="201"/>
      <c r="F871" s="201"/>
      <c r="I871" s="201"/>
      <c r="N871" s="201"/>
      <c r="O871" s="201"/>
      <c r="S871" s="201"/>
      <c r="T871" s="201"/>
      <c r="AB871" s="201"/>
      <c r="AC871" s="201"/>
      <c r="AD871" s="201"/>
      <c r="AE871" s="201"/>
      <c r="AF871" s="201"/>
      <c r="AG871" s="201"/>
      <c r="AH871" s="201"/>
      <c r="AI871" s="201"/>
      <c r="AJ871" s="201"/>
      <c r="AN871" s="201"/>
      <c r="AP871" s="201"/>
      <c r="AT871" s="201"/>
      <c r="AU871" s="201"/>
    </row>
    <row r="872" ht="15.75" customHeight="1">
      <c r="A872" s="200"/>
      <c r="B872" s="201"/>
      <c r="C872" s="201"/>
      <c r="D872" s="201"/>
      <c r="E872" s="201"/>
      <c r="F872" s="201"/>
      <c r="I872" s="201"/>
      <c r="N872" s="201"/>
      <c r="O872" s="201"/>
      <c r="S872" s="201"/>
      <c r="T872" s="201"/>
      <c r="AB872" s="201"/>
      <c r="AC872" s="201"/>
      <c r="AD872" s="201"/>
      <c r="AE872" s="201"/>
      <c r="AF872" s="201"/>
      <c r="AG872" s="201"/>
      <c r="AH872" s="201"/>
      <c r="AI872" s="201"/>
      <c r="AJ872" s="201"/>
      <c r="AN872" s="201"/>
      <c r="AP872" s="201"/>
      <c r="AT872" s="201"/>
      <c r="AU872" s="201"/>
    </row>
    <row r="873" ht="15.75" customHeight="1">
      <c r="A873" s="200"/>
      <c r="B873" s="201"/>
      <c r="C873" s="201"/>
      <c r="D873" s="201"/>
      <c r="E873" s="201"/>
      <c r="F873" s="201"/>
      <c r="I873" s="201"/>
      <c r="N873" s="201"/>
      <c r="O873" s="201"/>
      <c r="S873" s="201"/>
      <c r="T873" s="201"/>
      <c r="AB873" s="201"/>
      <c r="AC873" s="201"/>
      <c r="AD873" s="201"/>
      <c r="AE873" s="201"/>
      <c r="AF873" s="201"/>
      <c r="AG873" s="201"/>
      <c r="AH873" s="201"/>
      <c r="AI873" s="201"/>
      <c r="AJ873" s="201"/>
      <c r="AN873" s="201"/>
      <c r="AP873" s="201"/>
      <c r="AT873" s="201"/>
      <c r="AU873" s="201"/>
    </row>
    <row r="874" ht="15.75" customHeight="1">
      <c r="A874" s="200"/>
      <c r="B874" s="201"/>
      <c r="C874" s="201"/>
      <c r="D874" s="201"/>
      <c r="E874" s="201"/>
      <c r="F874" s="201"/>
      <c r="I874" s="201"/>
      <c r="N874" s="201"/>
      <c r="O874" s="201"/>
      <c r="S874" s="201"/>
      <c r="T874" s="201"/>
      <c r="AB874" s="201"/>
      <c r="AC874" s="201"/>
      <c r="AD874" s="201"/>
      <c r="AE874" s="201"/>
      <c r="AF874" s="201"/>
      <c r="AG874" s="201"/>
      <c r="AH874" s="201"/>
      <c r="AI874" s="201"/>
      <c r="AJ874" s="201"/>
      <c r="AN874" s="201"/>
      <c r="AP874" s="201"/>
      <c r="AT874" s="201"/>
      <c r="AU874" s="201"/>
    </row>
    <row r="875" ht="15.75" customHeight="1">
      <c r="A875" s="200"/>
      <c r="B875" s="201"/>
      <c r="C875" s="201"/>
      <c r="D875" s="201"/>
      <c r="E875" s="201"/>
      <c r="F875" s="201"/>
      <c r="I875" s="201"/>
      <c r="N875" s="201"/>
      <c r="O875" s="201"/>
      <c r="S875" s="201"/>
      <c r="T875" s="201"/>
      <c r="AB875" s="201"/>
      <c r="AC875" s="201"/>
      <c r="AD875" s="201"/>
      <c r="AE875" s="201"/>
      <c r="AF875" s="201"/>
      <c r="AG875" s="201"/>
      <c r="AH875" s="201"/>
      <c r="AI875" s="201"/>
      <c r="AJ875" s="201"/>
      <c r="AN875" s="201"/>
      <c r="AP875" s="201"/>
      <c r="AT875" s="201"/>
      <c r="AU875" s="201"/>
    </row>
    <row r="876" ht="15.75" customHeight="1">
      <c r="A876" s="200"/>
      <c r="B876" s="201"/>
      <c r="C876" s="201"/>
      <c r="D876" s="201"/>
      <c r="E876" s="201"/>
      <c r="F876" s="201"/>
      <c r="I876" s="201"/>
      <c r="N876" s="201"/>
      <c r="O876" s="201"/>
      <c r="S876" s="201"/>
      <c r="T876" s="201"/>
      <c r="AB876" s="201"/>
      <c r="AC876" s="201"/>
      <c r="AD876" s="201"/>
      <c r="AE876" s="201"/>
      <c r="AF876" s="201"/>
      <c r="AG876" s="201"/>
      <c r="AH876" s="201"/>
      <c r="AI876" s="201"/>
      <c r="AJ876" s="201"/>
      <c r="AN876" s="201"/>
      <c r="AP876" s="201"/>
      <c r="AT876" s="201"/>
      <c r="AU876" s="201"/>
    </row>
    <row r="877" ht="15.75" customHeight="1">
      <c r="A877" s="200"/>
      <c r="B877" s="201"/>
      <c r="C877" s="201"/>
      <c r="D877" s="201"/>
      <c r="E877" s="201"/>
      <c r="F877" s="201"/>
      <c r="I877" s="201"/>
      <c r="N877" s="201"/>
      <c r="O877" s="201"/>
      <c r="S877" s="201"/>
      <c r="T877" s="201"/>
      <c r="AB877" s="201"/>
      <c r="AC877" s="201"/>
      <c r="AD877" s="201"/>
      <c r="AE877" s="201"/>
      <c r="AF877" s="201"/>
      <c r="AG877" s="201"/>
      <c r="AH877" s="201"/>
      <c r="AI877" s="201"/>
      <c r="AJ877" s="201"/>
      <c r="AN877" s="201"/>
      <c r="AP877" s="201"/>
      <c r="AT877" s="201"/>
      <c r="AU877" s="201"/>
    </row>
    <row r="878" ht="15.75" customHeight="1">
      <c r="A878" s="200"/>
      <c r="B878" s="201"/>
      <c r="C878" s="201"/>
      <c r="D878" s="201"/>
      <c r="E878" s="201"/>
      <c r="F878" s="201"/>
      <c r="I878" s="201"/>
      <c r="N878" s="201"/>
      <c r="O878" s="201"/>
      <c r="S878" s="201"/>
      <c r="T878" s="201"/>
      <c r="AB878" s="201"/>
      <c r="AC878" s="201"/>
      <c r="AD878" s="201"/>
      <c r="AE878" s="201"/>
      <c r="AF878" s="201"/>
      <c r="AG878" s="201"/>
      <c r="AH878" s="201"/>
      <c r="AI878" s="201"/>
      <c r="AJ878" s="201"/>
      <c r="AN878" s="201"/>
      <c r="AP878" s="201"/>
      <c r="AT878" s="201"/>
      <c r="AU878" s="201"/>
    </row>
    <row r="879" ht="15.75" customHeight="1">
      <c r="A879" s="200"/>
      <c r="B879" s="201"/>
      <c r="C879" s="201"/>
      <c r="D879" s="201"/>
      <c r="E879" s="201"/>
      <c r="F879" s="201"/>
      <c r="I879" s="201"/>
      <c r="N879" s="201"/>
      <c r="O879" s="201"/>
      <c r="S879" s="201"/>
      <c r="T879" s="201"/>
      <c r="AB879" s="201"/>
      <c r="AC879" s="201"/>
      <c r="AD879" s="201"/>
      <c r="AE879" s="201"/>
      <c r="AF879" s="201"/>
      <c r="AG879" s="201"/>
      <c r="AH879" s="201"/>
      <c r="AI879" s="201"/>
      <c r="AJ879" s="201"/>
      <c r="AN879" s="201"/>
      <c r="AP879" s="201"/>
      <c r="AT879" s="201"/>
      <c r="AU879" s="201"/>
    </row>
    <row r="880" ht="15.75" customHeight="1">
      <c r="A880" s="200"/>
      <c r="B880" s="201"/>
      <c r="C880" s="201"/>
      <c r="D880" s="201"/>
      <c r="E880" s="201"/>
      <c r="F880" s="201"/>
      <c r="I880" s="201"/>
      <c r="N880" s="201"/>
      <c r="O880" s="201"/>
      <c r="S880" s="201"/>
      <c r="T880" s="201"/>
      <c r="AB880" s="201"/>
      <c r="AC880" s="201"/>
      <c r="AD880" s="201"/>
      <c r="AE880" s="201"/>
      <c r="AF880" s="201"/>
      <c r="AG880" s="201"/>
      <c r="AH880" s="201"/>
      <c r="AI880" s="201"/>
      <c r="AJ880" s="201"/>
      <c r="AN880" s="201"/>
      <c r="AP880" s="201"/>
      <c r="AT880" s="201"/>
      <c r="AU880" s="201"/>
    </row>
    <row r="881" ht="15.75" customHeight="1">
      <c r="A881" s="200"/>
      <c r="B881" s="201"/>
      <c r="C881" s="201"/>
      <c r="D881" s="201"/>
      <c r="E881" s="201"/>
      <c r="F881" s="201"/>
      <c r="I881" s="201"/>
      <c r="N881" s="201"/>
      <c r="O881" s="201"/>
      <c r="S881" s="201"/>
      <c r="T881" s="201"/>
      <c r="AB881" s="201"/>
      <c r="AC881" s="201"/>
      <c r="AD881" s="201"/>
      <c r="AE881" s="201"/>
      <c r="AF881" s="201"/>
      <c r="AG881" s="201"/>
      <c r="AH881" s="201"/>
      <c r="AI881" s="201"/>
      <c r="AJ881" s="201"/>
      <c r="AN881" s="201"/>
      <c r="AP881" s="201"/>
      <c r="AT881" s="201"/>
      <c r="AU881" s="201"/>
    </row>
    <row r="882" ht="15.75" customHeight="1">
      <c r="A882" s="200"/>
      <c r="B882" s="201"/>
      <c r="C882" s="201"/>
      <c r="D882" s="201"/>
      <c r="E882" s="201"/>
      <c r="F882" s="201"/>
      <c r="I882" s="201"/>
      <c r="N882" s="201"/>
      <c r="O882" s="201"/>
      <c r="S882" s="201"/>
      <c r="T882" s="201"/>
      <c r="AB882" s="201"/>
      <c r="AC882" s="201"/>
      <c r="AD882" s="201"/>
      <c r="AE882" s="201"/>
      <c r="AF882" s="201"/>
      <c r="AG882" s="201"/>
      <c r="AH882" s="201"/>
      <c r="AI882" s="201"/>
      <c r="AJ882" s="201"/>
      <c r="AN882" s="201"/>
      <c r="AP882" s="201"/>
      <c r="AT882" s="201"/>
      <c r="AU882" s="201"/>
    </row>
    <row r="883" ht="15.75" customHeight="1">
      <c r="A883" s="200"/>
      <c r="B883" s="201"/>
      <c r="C883" s="201"/>
      <c r="D883" s="201"/>
      <c r="E883" s="201"/>
      <c r="F883" s="201"/>
      <c r="I883" s="201"/>
      <c r="N883" s="201"/>
      <c r="O883" s="201"/>
      <c r="S883" s="201"/>
      <c r="T883" s="201"/>
      <c r="AB883" s="201"/>
      <c r="AC883" s="201"/>
      <c r="AD883" s="201"/>
      <c r="AE883" s="201"/>
      <c r="AF883" s="201"/>
      <c r="AG883" s="201"/>
      <c r="AH883" s="201"/>
      <c r="AI883" s="201"/>
      <c r="AJ883" s="201"/>
      <c r="AN883" s="201"/>
      <c r="AP883" s="201"/>
      <c r="AT883" s="201"/>
      <c r="AU883" s="201"/>
    </row>
    <row r="884" ht="15.75" customHeight="1">
      <c r="A884" s="200"/>
      <c r="B884" s="201"/>
      <c r="C884" s="201"/>
      <c r="D884" s="201"/>
      <c r="E884" s="201"/>
      <c r="F884" s="201"/>
      <c r="I884" s="201"/>
      <c r="N884" s="201"/>
      <c r="O884" s="201"/>
      <c r="S884" s="201"/>
      <c r="T884" s="201"/>
      <c r="AB884" s="201"/>
      <c r="AC884" s="201"/>
      <c r="AD884" s="201"/>
      <c r="AE884" s="201"/>
      <c r="AF884" s="201"/>
      <c r="AG884" s="201"/>
      <c r="AH884" s="201"/>
      <c r="AI884" s="201"/>
      <c r="AJ884" s="201"/>
      <c r="AN884" s="201"/>
      <c r="AP884" s="201"/>
      <c r="AT884" s="201"/>
      <c r="AU884" s="201"/>
    </row>
    <row r="885" ht="15.75" customHeight="1">
      <c r="A885" s="200"/>
      <c r="B885" s="201"/>
      <c r="C885" s="201"/>
      <c r="D885" s="201"/>
      <c r="E885" s="201"/>
      <c r="F885" s="201"/>
      <c r="I885" s="201"/>
      <c r="N885" s="201"/>
      <c r="O885" s="201"/>
      <c r="S885" s="201"/>
      <c r="T885" s="201"/>
      <c r="AB885" s="201"/>
      <c r="AC885" s="201"/>
      <c r="AD885" s="201"/>
      <c r="AE885" s="201"/>
      <c r="AF885" s="201"/>
      <c r="AG885" s="201"/>
      <c r="AH885" s="201"/>
      <c r="AI885" s="201"/>
      <c r="AJ885" s="201"/>
      <c r="AN885" s="201"/>
      <c r="AP885" s="201"/>
      <c r="AT885" s="201"/>
      <c r="AU885" s="201"/>
    </row>
    <row r="886" ht="15.75" customHeight="1">
      <c r="A886" s="200"/>
      <c r="B886" s="201"/>
      <c r="C886" s="201"/>
      <c r="D886" s="201"/>
      <c r="E886" s="201"/>
      <c r="F886" s="201"/>
      <c r="I886" s="201"/>
      <c r="N886" s="201"/>
      <c r="O886" s="201"/>
      <c r="S886" s="201"/>
      <c r="T886" s="201"/>
      <c r="AB886" s="201"/>
      <c r="AC886" s="201"/>
      <c r="AD886" s="201"/>
      <c r="AE886" s="201"/>
      <c r="AF886" s="201"/>
      <c r="AG886" s="201"/>
      <c r="AH886" s="201"/>
      <c r="AI886" s="201"/>
      <c r="AJ886" s="201"/>
      <c r="AN886" s="201"/>
      <c r="AP886" s="201"/>
      <c r="AT886" s="201"/>
      <c r="AU886" s="201"/>
    </row>
    <row r="887" ht="15.75" customHeight="1">
      <c r="A887" s="200"/>
      <c r="B887" s="201"/>
      <c r="C887" s="201"/>
      <c r="D887" s="201"/>
      <c r="E887" s="201"/>
      <c r="F887" s="201"/>
      <c r="I887" s="201"/>
      <c r="N887" s="201"/>
      <c r="O887" s="201"/>
      <c r="S887" s="201"/>
      <c r="T887" s="201"/>
      <c r="AB887" s="201"/>
      <c r="AC887" s="201"/>
      <c r="AD887" s="201"/>
      <c r="AE887" s="201"/>
      <c r="AF887" s="201"/>
      <c r="AG887" s="201"/>
      <c r="AH887" s="201"/>
      <c r="AI887" s="201"/>
      <c r="AJ887" s="201"/>
      <c r="AN887" s="201"/>
      <c r="AP887" s="201"/>
      <c r="AT887" s="201"/>
      <c r="AU887" s="201"/>
    </row>
    <row r="888" ht="15.75" customHeight="1">
      <c r="A888" s="200"/>
      <c r="B888" s="201"/>
      <c r="C888" s="201"/>
      <c r="D888" s="201"/>
      <c r="E888" s="201"/>
      <c r="F888" s="201"/>
      <c r="I888" s="201"/>
      <c r="N888" s="201"/>
      <c r="O888" s="201"/>
      <c r="S888" s="201"/>
      <c r="T888" s="201"/>
      <c r="AB888" s="201"/>
      <c r="AC888" s="201"/>
      <c r="AD888" s="201"/>
      <c r="AE888" s="201"/>
      <c r="AF888" s="201"/>
      <c r="AG888" s="201"/>
      <c r="AH888" s="201"/>
      <c r="AI888" s="201"/>
      <c r="AJ888" s="201"/>
      <c r="AN888" s="201"/>
      <c r="AP888" s="201"/>
      <c r="AT888" s="201"/>
      <c r="AU888" s="201"/>
    </row>
    <row r="889" ht="15.75" customHeight="1">
      <c r="A889" s="200"/>
      <c r="B889" s="201"/>
      <c r="C889" s="201"/>
      <c r="D889" s="201"/>
      <c r="E889" s="201"/>
      <c r="F889" s="201"/>
      <c r="I889" s="201"/>
      <c r="N889" s="201"/>
      <c r="O889" s="201"/>
      <c r="S889" s="201"/>
      <c r="T889" s="201"/>
      <c r="AB889" s="201"/>
      <c r="AC889" s="201"/>
      <c r="AD889" s="201"/>
      <c r="AE889" s="201"/>
      <c r="AF889" s="201"/>
      <c r="AG889" s="201"/>
      <c r="AH889" s="201"/>
      <c r="AI889" s="201"/>
      <c r="AJ889" s="201"/>
      <c r="AN889" s="201"/>
      <c r="AP889" s="201"/>
      <c r="AT889" s="201"/>
      <c r="AU889" s="201"/>
    </row>
    <row r="890" ht="15.75" customHeight="1">
      <c r="A890" s="200"/>
      <c r="B890" s="201"/>
      <c r="C890" s="201"/>
      <c r="D890" s="201"/>
      <c r="E890" s="201"/>
      <c r="F890" s="201"/>
      <c r="I890" s="201"/>
      <c r="N890" s="201"/>
      <c r="O890" s="201"/>
      <c r="S890" s="201"/>
      <c r="T890" s="201"/>
      <c r="AB890" s="201"/>
      <c r="AC890" s="201"/>
      <c r="AD890" s="201"/>
      <c r="AE890" s="201"/>
      <c r="AF890" s="201"/>
      <c r="AG890" s="201"/>
      <c r="AH890" s="201"/>
      <c r="AI890" s="201"/>
      <c r="AJ890" s="201"/>
      <c r="AN890" s="201"/>
      <c r="AP890" s="201"/>
      <c r="AT890" s="201"/>
      <c r="AU890" s="201"/>
    </row>
    <row r="891" ht="15.75" customHeight="1">
      <c r="A891" s="200"/>
      <c r="B891" s="201"/>
      <c r="C891" s="201"/>
      <c r="D891" s="201"/>
      <c r="E891" s="201"/>
      <c r="F891" s="201"/>
      <c r="I891" s="201"/>
      <c r="N891" s="201"/>
      <c r="O891" s="201"/>
      <c r="S891" s="201"/>
      <c r="T891" s="201"/>
      <c r="AB891" s="201"/>
      <c r="AC891" s="201"/>
      <c r="AD891" s="201"/>
      <c r="AE891" s="201"/>
      <c r="AF891" s="201"/>
      <c r="AG891" s="201"/>
      <c r="AH891" s="201"/>
      <c r="AI891" s="201"/>
      <c r="AJ891" s="201"/>
      <c r="AN891" s="201"/>
      <c r="AP891" s="201"/>
      <c r="AT891" s="201"/>
      <c r="AU891" s="201"/>
    </row>
    <row r="892" ht="15.75" customHeight="1">
      <c r="A892" s="200"/>
      <c r="B892" s="201"/>
      <c r="C892" s="201"/>
      <c r="D892" s="201"/>
      <c r="E892" s="201"/>
      <c r="F892" s="201"/>
      <c r="I892" s="201"/>
      <c r="N892" s="201"/>
      <c r="O892" s="201"/>
      <c r="S892" s="201"/>
      <c r="T892" s="201"/>
      <c r="AB892" s="201"/>
      <c r="AC892" s="201"/>
      <c r="AD892" s="201"/>
      <c r="AE892" s="201"/>
      <c r="AF892" s="201"/>
      <c r="AG892" s="201"/>
      <c r="AH892" s="201"/>
      <c r="AI892" s="201"/>
      <c r="AJ892" s="201"/>
      <c r="AN892" s="201"/>
      <c r="AP892" s="201"/>
      <c r="AT892" s="201"/>
      <c r="AU892" s="201"/>
    </row>
    <row r="893" ht="15.75" customHeight="1">
      <c r="A893" s="200"/>
      <c r="B893" s="201"/>
      <c r="C893" s="201"/>
      <c r="D893" s="201"/>
      <c r="E893" s="201"/>
      <c r="F893" s="201"/>
      <c r="I893" s="201"/>
      <c r="N893" s="201"/>
      <c r="O893" s="201"/>
      <c r="S893" s="201"/>
      <c r="T893" s="201"/>
      <c r="AB893" s="201"/>
      <c r="AC893" s="201"/>
      <c r="AD893" s="201"/>
      <c r="AE893" s="201"/>
      <c r="AF893" s="201"/>
      <c r="AG893" s="201"/>
      <c r="AH893" s="201"/>
      <c r="AI893" s="201"/>
      <c r="AJ893" s="201"/>
      <c r="AN893" s="201"/>
      <c r="AP893" s="201"/>
      <c r="AT893" s="201"/>
      <c r="AU893" s="201"/>
    </row>
    <row r="894" ht="15.75" customHeight="1">
      <c r="A894" s="200"/>
      <c r="B894" s="201"/>
      <c r="C894" s="201"/>
      <c r="D894" s="201"/>
      <c r="E894" s="201"/>
      <c r="F894" s="201"/>
      <c r="I894" s="201"/>
      <c r="N894" s="201"/>
      <c r="O894" s="201"/>
      <c r="S894" s="201"/>
      <c r="T894" s="201"/>
      <c r="AB894" s="201"/>
      <c r="AC894" s="201"/>
      <c r="AD894" s="201"/>
      <c r="AE894" s="201"/>
      <c r="AF894" s="201"/>
      <c r="AG894" s="201"/>
      <c r="AH894" s="201"/>
      <c r="AI894" s="201"/>
      <c r="AJ894" s="201"/>
      <c r="AN894" s="201"/>
      <c r="AP894" s="201"/>
      <c r="AT894" s="201"/>
      <c r="AU894" s="201"/>
    </row>
    <row r="895" ht="15.75" customHeight="1">
      <c r="A895" s="200"/>
      <c r="B895" s="201"/>
      <c r="C895" s="201"/>
      <c r="D895" s="201"/>
      <c r="E895" s="201"/>
      <c r="F895" s="201"/>
      <c r="I895" s="201"/>
      <c r="N895" s="201"/>
      <c r="O895" s="201"/>
      <c r="S895" s="201"/>
      <c r="T895" s="201"/>
      <c r="AB895" s="201"/>
      <c r="AC895" s="201"/>
      <c r="AD895" s="201"/>
      <c r="AE895" s="201"/>
      <c r="AF895" s="201"/>
      <c r="AG895" s="201"/>
      <c r="AH895" s="201"/>
      <c r="AI895" s="201"/>
      <c r="AJ895" s="201"/>
      <c r="AN895" s="201"/>
      <c r="AP895" s="201"/>
      <c r="AT895" s="201"/>
      <c r="AU895" s="201"/>
    </row>
    <row r="896" ht="15.75" customHeight="1">
      <c r="A896" s="200"/>
      <c r="B896" s="201"/>
      <c r="C896" s="201"/>
      <c r="D896" s="201"/>
      <c r="E896" s="201"/>
      <c r="F896" s="201"/>
      <c r="I896" s="201"/>
      <c r="N896" s="201"/>
      <c r="O896" s="201"/>
      <c r="S896" s="201"/>
      <c r="T896" s="201"/>
      <c r="AB896" s="201"/>
      <c r="AC896" s="201"/>
      <c r="AD896" s="201"/>
      <c r="AE896" s="201"/>
      <c r="AF896" s="201"/>
      <c r="AG896" s="201"/>
      <c r="AH896" s="201"/>
      <c r="AI896" s="201"/>
      <c r="AJ896" s="201"/>
      <c r="AN896" s="201"/>
      <c r="AP896" s="201"/>
      <c r="AT896" s="201"/>
      <c r="AU896" s="201"/>
    </row>
    <row r="897" ht="15.75" customHeight="1">
      <c r="A897" s="200"/>
      <c r="B897" s="201"/>
      <c r="C897" s="201"/>
      <c r="D897" s="201"/>
      <c r="E897" s="201"/>
      <c r="F897" s="201"/>
      <c r="I897" s="201"/>
      <c r="N897" s="201"/>
      <c r="O897" s="201"/>
      <c r="S897" s="201"/>
      <c r="T897" s="201"/>
      <c r="AB897" s="201"/>
      <c r="AC897" s="201"/>
      <c r="AD897" s="201"/>
      <c r="AE897" s="201"/>
      <c r="AF897" s="201"/>
      <c r="AG897" s="201"/>
      <c r="AH897" s="201"/>
      <c r="AI897" s="201"/>
      <c r="AJ897" s="201"/>
      <c r="AN897" s="201"/>
      <c r="AP897" s="201"/>
      <c r="AT897" s="201"/>
      <c r="AU897" s="201"/>
    </row>
    <row r="898" ht="15.75" customHeight="1">
      <c r="A898" s="200"/>
      <c r="B898" s="201"/>
      <c r="C898" s="201"/>
      <c r="D898" s="201"/>
      <c r="E898" s="201"/>
      <c r="F898" s="201"/>
      <c r="I898" s="201"/>
      <c r="N898" s="201"/>
      <c r="O898" s="201"/>
      <c r="S898" s="201"/>
      <c r="T898" s="201"/>
      <c r="AB898" s="201"/>
      <c r="AC898" s="201"/>
      <c r="AD898" s="201"/>
      <c r="AE898" s="201"/>
      <c r="AF898" s="201"/>
      <c r="AG898" s="201"/>
      <c r="AH898" s="201"/>
      <c r="AI898" s="201"/>
      <c r="AJ898" s="201"/>
      <c r="AN898" s="201"/>
      <c r="AP898" s="201"/>
      <c r="AT898" s="201"/>
      <c r="AU898" s="201"/>
    </row>
    <row r="899" ht="15.75" customHeight="1">
      <c r="A899" s="200"/>
      <c r="B899" s="201"/>
      <c r="C899" s="201"/>
      <c r="D899" s="201"/>
      <c r="E899" s="201"/>
      <c r="F899" s="201"/>
      <c r="I899" s="201"/>
      <c r="N899" s="201"/>
      <c r="O899" s="201"/>
      <c r="S899" s="201"/>
      <c r="T899" s="201"/>
      <c r="AB899" s="201"/>
      <c r="AC899" s="201"/>
      <c r="AD899" s="201"/>
      <c r="AE899" s="201"/>
      <c r="AF899" s="201"/>
      <c r="AG899" s="201"/>
      <c r="AH899" s="201"/>
      <c r="AI899" s="201"/>
      <c r="AJ899" s="201"/>
      <c r="AN899" s="201"/>
      <c r="AP899" s="201"/>
      <c r="AT899" s="201"/>
      <c r="AU899" s="201"/>
    </row>
    <row r="900" ht="15.75" customHeight="1">
      <c r="A900" s="200"/>
      <c r="B900" s="201"/>
      <c r="C900" s="201"/>
      <c r="D900" s="201"/>
      <c r="E900" s="201"/>
      <c r="F900" s="201"/>
      <c r="I900" s="201"/>
      <c r="N900" s="201"/>
      <c r="O900" s="201"/>
      <c r="S900" s="201"/>
      <c r="T900" s="201"/>
      <c r="AB900" s="201"/>
      <c r="AC900" s="201"/>
      <c r="AD900" s="201"/>
      <c r="AE900" s="201"/>
      <c r="AF900" s="201"/>
      <c r="AG900" s="201"/>
      <c r="AH900" s="201"/>
      <c r="AI900" s="201"/>
      <c r="AJ900" s="201"/>
      <c r="AN900" s="201"/>
      <c r="AP900" s="201"/>
      <c r="AT900" s="201"/>
      <c r="AU900" s="201"/>
    </row>
    <row r="901" ht="15.75" customHeight="1">
      <c r="A901" s="200"/>
      <c r="B901" s="201"/>
      <c r="C901" s="201"/>
      <c r="D901" s="201"/>
      <c r="E901" s="201"/>
      <c r="F901" s="201"/>
      <c r="I901" s="201"/>
      <c r="N901" s="201"/>
      <c r="O901" s="201"/>
      <c r="S901" s="201"/>
      <c r="T901" s="201"/>
      <c r="AB901" s="201"/>
      <c r="AC901" s="201"/>
      <c r="AD901" s="201"/>
      <c r="AE901" s="201"/>
      <c r="AF901" s="201"/>
      <c r="AG901" s="201"/>
      <c r="AH901" s="201"/>
      <c r="AI901" s="201"/>
      <c r="AJ901" s="201"/>
      <c r="AN901" s="201"/>
      <c r="AP901" s="201"/>
      <c r="AT901" s="201"/>
      <c r="AU901" s="201"/>
    </row>
    <row r="902" ht="15.75" customHeight="1">
      <c r="A902" s="200"/>
      <c r="B902" s="201"/>
      <c r="C902" s="201"/>
      <c r="D902" s="201"/>
      <c r="E902" s="201"/>
      <c r="F902" s="201"/>
      <c r="I902" s="201"/>
      <c r="N902" s="201"/>
      <c r="O902" s="201"/>
      <c r="S902" s="201"/>
      <c r="T902" s="201"/>
      <c r="AB902" s="201"/>
      <c r="AC902" s="201"/>
      <c r="AD902" s="201"/>
      <c r="AE902" s="201"/>
      <c r="AF902" s="201"/>
      <c r="AG902" s="201"/>
      <c r="AH902" s="201"/>
      <c r="AI902" s="201"/>
      <c r="AJ902" s="201"/>
      <c r="AN902" s="201"/>
      <c r="AP902" s="201"/>
      <c r="AT902" s="201"/>
      <c r="AU902" s="201"/>
    </row>
    <row r="903" ht="15.75" customHeight="1">
      <c r="A903" s="200"/>
      <c r="B903" s="201"/>
      <c r="C903" s="201"/>
      <c r="D903" s="201"/>
      <c r="E903" s="201"/>
      <c r="F903" s="201"/>
      <c r="I903" s="201"/>
      <c r="N903" s="201"/>
      <c r="O903" s="201"/>
      <c r="S903" s="201"/>
      <c r="T903" s="201"/>
      <c r="AB903" s="201"/>
      <c r="AC903" s="201"/>
      <c r="AD903" s="201"/>
      <c r="AE903" s="201"/>
      <c r="AF903" s="201"/>
      <c r="AG903" s="201"/>
      <c r="AH903" s="201"/>
      <c r="AI903" s="201"/>
      <c r="AJ903" s="201"/>
      <c r="AN903" s="201"/>
      <c r="AP903" s="201"/>
      <c r="AT903" s="201"/>
      <c r="AU903" s="201"/>
    </row>
    <row r="904" ht="15.75" customHeight="1">
      <c r="A904" s="200"/>
      <c r="B904" s="201"/>
      <c r="C904" s="201"/>
      <c r="D904" s="201"/>
      <c r="E904" s="201"/>
      <c r="F904" s="201"/>
      <c r="I904" s="201"/>
      <c r="N904" s="201"/>
      <c r="O904" s="201"/>
      <c r="S904" s="201"/>
      <c r="T904" s="201"/>
      <c r="AB904" s="201"/>
      <c r="AC904" s="201"/>
      <c r="AD904" s="201"/>
      <c r="AE904" s="201"/>
      <c r="AF904" s="201"/>
      <c r="AG904" s="201"/>
      <c r="AH904" s="201"/>
      <c r="AI904" s="201"/>
      <c r="AJ904" s="201"/>
      <c r="AN904" s="201"/>
      <c r="AP904" s="201"/>
      <c r="AT904" s="201"/>
      <c r="AU904" s="201"/>
    </row>
    <row r="905" ht="15.75" customHeight="1">
      <c r="A905" s="200"/>
      <c r="B905" s="201"/>
      <c r="C905" s="201"/>
      <c r="D905" s="201"/>
      <c r="E905" s="201"/>
      <c r="F905" s="201"/>
      <c r="I905" s="201"/>
      <c r="N905" s="201"/>
      <c r="O905" s="201"/>
      <c r="S905" s="201"/>
      <c r="T905" s="201"/>
      <c r="AB905" s="201"/>
      <c r="AC905" s="201"/>
      <c r="AD905" s="201"/>
      <c r="AE905" s="201"/>
      <c r="AF905" s="201"/>
      <c r="AG905" s="201"/>
      <c r="AH905" s="201"/>
      <c r="AI905" s="201"/>
      <c r="AJ905" s="201"/>
      <c r="AN905" s="201"/>
      <c r="AP905" s="201"/>
      <c r="AT905" s="201"/>
      <c r="AU905" s="201"/>
    </row>
    <row r="906" ht="15.75" customHeight="1">
      <c r="A906" s="200"/>
      <c r="B906" s="201"/>
      <c r="C906" s="201"/>
      <c r="D906" s="201"/>
      <c r="E906" s="201"/>
      <c r="F906" s="201"/>
      <c r="I906" s="201"/>
      <c r="N906" s="201"/>
      <c r="O906" s="201"/>
      <c r="S906" s="201"/>
      <c r="T906" s="201"/>
      <c r="AB906" s="201"/>
      <c r="AC906" s="201"/>
      <c r="AD906" s="201"/>
      <c r="AE906" s="201"/>
      <c r="AF906" s="201"/>
      <c r="AG906" s="201"/>
      <c r="AH906" s="201"/>
      <c r="AI906" s="201"/>
      <c r="AJ906" s="201"/>
      <c r="AN906" s="201"/>
      <c r="AP906" s="201"/>
      <c r="AT906" s="201"/>
      <c r="AU906" s="201"/>
    </row>
    <row r="907" ht="15.75" customHeight="1">
      <c r="A907" s="200"/>
      <c r="B907" s="201"/>
      <c r="C907" s="201"/>
      <c r="D907" s="201"/>
      <c r="E907" s="201"/>
      <c r="F907" s="201"/>
      <c r="I907" s="201"/>
      <c r="N907" s="201"/>
      <c r="O907" s="201"/>
      <c r="S907" s="201"/>
      <c r="T907" s="201"/>
      <c r="AB907" s="201"/>
      <c r="AC907" s="201"/>
      <c r="AD907" s="201"/>
      <c r="AE907" s="201"/>
      <c r="AF907" s="201"/>
      <c r="AG907" s="201"/>
      <c r="AH907" s="201"/>
      <c r="AI907" s="201"/>
      <c r="AJ907" s="201"/>
      <c r="AN907" s="201"/>
      <c r="AP907" s="201"/>
      <c r="AT907" s="201"/>
      <c r="AU907" s="201"/>
    </row>
    <row r="908" ht="15.75" customHeight="1">
      <c r="A908" s="200"/>
      <c r="B908" s="201"/>
      <c r="C908" s="201"/>
      <c r="D908" s="201"/>
      <c r="E908" s="201"/>
      <c r="F908" s="201"/>
      <c r="I908" s="201"/>
      <c r="N908" s="201"/>
      <c r="O908" s="201"/>
      <c r="S908" s="201"/>
      <c r="T908" s="201"/>
      <c r="AB908" s="201"/>
      <c r="AC908" s="201"/>
      <c r="AD908" s="201"/>
      <c r="AE908" s="201"/>
      <c r="AF908" s="201"/>
      <c r="AG908" s="201"/>
      <c r="AH908" s="201"/>
      <c r="AI908" s="201"/>
      <c r="AJ908" s="201"/>
      <c r="AN908" s="201"/>
      <c r="AP908" s="201"/>
      <c r="AT908" s="201"/>
      <c r="AU908" s="201"/>
    </row>
    <row r="909" ht="15.75" customHeight="1">
      <c r="A909" s="200"/>
      <c r="B909" s="201"/>
      <c r="C909" s="201"/>
      <c r="D909" s="201"/>
      <c r="E909" s="201"/>
      <c r="F909" s="201"/>
      <c r="I909" s="201"/>
      <c r="N909" s="201"/>
      <c r="O909" s="201"/>
      <c r="S909" s="201"/>
      <c r="T909" s="201"/>
      <c r="AB909" s="201"/>
      <c r="AC909" s="201"/>
      <c r="AD909" s="201"/>
      <c r="AE909" s="201"/>
      <c r="AF909" s="201"/>
      <c r="AG909" s="201"/>
      <c r="AH909" s="201"/>
      <c r="AI909" s="201"/>
      <c r="AJ909" s="201"/>
      <c r="AN909" s="201"/>
      <c r="AP909" s="201"/>
      <c r="AT909" s="201"/>
      <c r="AU909" s="201"/>
    </row>
    <row r="910" ht="15.75" customHeight="1">
      <c r="A910" s="200"/>
      <c r="B910" s="201"/>
      <c r="C910" s="201"/>
      <c r="D910" s="201"/>
      <c r="E910" s="201"/>
      <c r="F910" s="201"/>
      <c r="I910" s="201"/>
      <c r="N910" s="201"/>
      <c r="O910" s="201"/>
      <c r="S910" s="201"/>
      <c r="T910" s="201"/>
      <c r="AB910" s="201"/>
      <c r="AC910" s="201"/>
      <c r="AD910" s="201"/>
      <c r="AE910" s="201"/>
      <c r="AF910" s="201"/>
      <c r="AG910" s="201"/>
      <c r="AH910" s="201"/>
      <c r="AI910" s="201"/>
      <c r="AJ910" s="201"/>
      <c r="AN910" s="201"/>
      <c r="AP910" s="201"/>
      <c r="AT910" s="201"/>
      <c r="AU910" s="201"/>
    </row>
    <row r="911" ht="15.75" customHeight="1">
      <c r="A911" s="200"/>
      <c r="B911" s="201"/>
      <c r="C911" s="201"/>
      <c r="D911" s="201"/>
      <c r="E911" s="201"/>
      <c r="F911" s="201"/>
      <c r="I911" s="201"/>
      <c r="N911" s="201"/>
      <c r="O911" s="201"/>
      <c r="S911" s="201"/>
      <c r="T911" s="201"/>
      <c r="AB911" s="201"/>
      <c r="AC911" s="201"/>
      <c r="AD911" s="201"/>
      <c r="AE911" s="201"/>
      <c r="AF911" s="201"/>
      <c r="AG911" s="201"/>
      <c r="AH911" s="201"/>
      <c r="AI911" s="201"/>
      <c r="AJ911" s="201"/>
      <c r="AN911" s="201"/>
      <c r="AP911" s="201"/>
      <c r="AT911" s="201"/>
      <c r="AU911" s="201"/>
    </row>
    <row r="912" ht="15.75" customHeight="1">
      <c r="A912" s="200"/>
      <c r="B912" s="201"/>
      <c r="C912" s="201"/>
      <c r="D912" s="201"/>
      <c r="E912" s="201"/>
      <c r="F912" s="201"/>
      <c r="I912" s="201"/>
      <c r="N912" s="201"/>
      <c r="O912" s="201"/>
      <c r="S912" s="201"/>
      <c r="T912" s="201"/>
      <c r="AB912" s="201"/>
      <c r="AC912" s="201"/>
      <c r="AD912" s="201"/>
      <c r="AE912" s="201"/>
      <c r="AF912" s="201"/>
      <c r="AG912" s="201"/>
      <c r="AH912" s="201"/>
      <c r="AI912" s="201"/>
      <c r="AJ912" s="201"/>
      <c r="AN912" s="201"/>
      <c r="AP912" s="201"/>
      <c r="AT912" s="201"/>
      <c r="AU912" s="201"/>
    </row>
    <row r="913" ht="15.75" customHeight="1">
      <c r="A913" s="200"/>
      <c r="B913" s="201"/>
      <c r="C913" s="201"/>
      <c r="D913" s="201"/>
      <c r="E913" s="201"/>
      <c r="F913" s="201"/>
      <c r="I913" s="201"/>
      <c r="N913" s="201"/>
      <c r="O913" s="201"/>
      <c r="S913" s="201"/>
      <c r="T913" s="201"/>
      <c r="AB913" s="201"/>
      <c r="AC913" s="201"/>
      <c r="AD913" s="201"/>
      <c r="AE913" s="201"/>
      <c r="AF913" s="201"/>
      <c r="AG913" s="201"/>
      <c r="AH913" s="201"/>
      <c r="AI913" s="201"/>
      <c r="AJ913" s="201"/>
      <c r="AN913" s="201"/>
      <c r="AP913" s="201"/>
      <c r="AT913" s="201"/>
      <c r="AU913" s="201"/>
    </row>
    <row r="914" ht="15.75" customHeight="1">
      <c r="A914" s="200"/>
      <c r="B914" s="201"/>
      <c r="C914" s="201"/>
      <c r="D914" s="201"/>
      <c r="E914" s="201"/>
      <c r="F914" s="201"/>
      <c r="I914" s="201"/>
      <c r="N914" s="201"/>
      <c r="O914" s="201"/>
      <c r="S914" s="201"/>
      <c r="T914" s="201"/>
      <c r="AB914" s="201"/>
      <c r="AC914" s="201"/>
      <c r="AD914" s="201"/>
      <c r="AE914" s="201"/>
      <c r="AF914" s="201"/>
      <c r="AG914" s="201"/>
      <c r="AH914" s="201"/>
      <c r="AI914" s="201"/>
      <c r="AJ914" s="201"/>
      <c r="AN914" s="201"/>
      <c r="AP914" s="201"/>
      <c r="AT914" s="201"/>
      <c r="AU914" s="201"/>
    </row>
    <row r="915" ht="15.75" customHeight="1">
      <c r="A915" s="200"/>
      <c r="B915" s="201"/>
      <c r="C915" s="201"/>
      <c r="D915" s="201"/>
      <c r="E915" s="201"/>
      <c r="F915" s="201"/>
      <c r="I915" s="201"/>
      <c r="N915" s="201"/>
      <c r="O915" s="201"/>
      <c r="S915" s="201"/>
      <c r="T915" s="201"/>
      <c r="AB915" s="201"/>
      <c r="AC915" s="201"/>
      <c r="AD915" s="201"/>
      <c r="AE915" s="201"/>
      <c r="AF915" s="201"/>
      <c r="AG915" s="201"/>
      <c r="AH915" s="201"/>
      <c r="AI915" s="201"/>
      <c r="AJ915" s="201"/>
      <c r="AN915" s="201"/>
      <c r="AP915" s="201"/>
      <c r="AT915" s="201"/>
      <c r="AU915" s="201"/>
    </row>
    <row r="916" ht="15.75" customHeight="1">
      <c r="A916" s="200"/>
      <c r="B916" s="201"/>
      <c r="C916" s="201"/>
      <c r="D916" s="201"/>
      <c r="E916" s="201"/>
      <c r="F916" s="201"/>
      <c r="I916" s="201"/>
      <c r="N916" s="201"/>
      <c r="O916" s="201"/>
      <c r="S916" s="201"/>
      <c r="T916" s="201"/>
      <c r="AB916" s="201"/>
      <c r="AC916" s="201"/>
      <c r="AD916" s="201"/>
      <c r="AE916" s="201"/>
      <c r="AF916" s="201"/>
      <c r="AG916" s="201"/>
      <c r="AH916" s="201"/>
      <c r="AI916" s="201"/>
      <c r="AJ916" s="201"/>
      <c r="AN916" s="201"/>
      <c r="AP916" s="201"/>
      <c r="AT916" s="201"/>
      <c r="AU916" s="201"/>
    </row>
    <row r="917" ht="15.75" customHeight="1">
      <c r="A917" s="200"/>
      <c r="B917" s="201"/>
      <c r="C917" s="201"/>
      <c r="D917" s="201"/>
      <c r="E917" s="201"/>
      <c r="F917" s="201"/>
      <c r="I917" s="201"/>
      <c r="N917" s="201"/>
      <c r="O917" s="201"/>
      <c r="S917" s="201"/>
      <c r="T917" s="201"/>
      <c r="AB917" s="201"/>
      <c r="AC917" s="201"/>
      <c r="AD917" s="201"/>
      <c r="AE917" s="201"/>
      <c r="AF917" s="201"/>
      <c r="AG917" s="201"/>
      <c r="AH917" s="201"/>
      <c r="AI917" s="201"/>
      <c r="AJ917" s="201"/>
      <c r="AN917" s="201"/>
      <c r="AP917" s="201"/>
      <c r="AT917" s="201"/>
      <c r="AU917" s="201"/>
    </row>
    <row r="918" ht="15.75" customHeight="1">
      <c r="A918" s="200"/>
      <c r="B918" s="201"/>
      <c r="C918" s="201"/>
      <c r="D918" s="201"/>
      <c r="E918" s="201"/>
      <c r="F918" s="201"/>
      <c r="I918" s="201"/>
      <c r="N918" s="201"/>
      <c r="O918" s="201"/>
      <c r="S918" s="201"/>
      <c r="T918" s="201"/>
      <c r="AB918" s="201"/>
      <c r="AC918" s="201"/>
      <c r="AD918" s="201"/>
      <c r="AE918" s="201"/>
      <c r="AF918" s="201"/>
      <c r="AG918" s="201"/>
      <c r="AH918" s="201"/>
      <c r="AI918" s="201"/>
      <c r="AJ918" s="201"/>
      <c r="AN918" s="201"/>
      <c r="AP918" s="201"/>
      <c r="AT918" s="201"/>
      <c r="AU918" s="201"/>
    </row>
    <row r="919" ht="15.75" customHeight="1">
      <c r="A919" s="200"/>
      <c r="B919" s="201"/>
      <c r="C919" s="201"/>
      <c r="D919" s="201"/>
      <c r="E919" s="201"/>
      <c r="F919" s="201"/>
      <c r="I919" s="201"/>
      <c r="N919" s="201"/>
      <c r="O919" s="201"/>
      <c r="S919" s="201"/>
      <c r="T919" s="201"/>
      <c r="AB919" s="201"/>
      <c r="AC919" s="201"/>
      <c r="AD919" s="201"/>
      <c r="AE919" s="201"/>
      <c r="AF919" s="201"/>
      <c r="AG919" s="201"/>
      <c r="AH919" s="201"/>
      <c r="AI919" s="201"/>
      <c r="AJ919" s="201"/>
      <c r="AN919" s="201"/>
      <c r="AP919" s="201"/>
      <c r="AT919" s="201"/>
      <c r="AU919" s="201"/>
    </row>
    <row r="920" ht="15.75" customHeight="1">
      <c r="A920" s="200"/>
      <c r="B920" s="201"/>
      <c r="C920" s="201"/>
      <c r="D920" s="201"/>
      <c r="E920" s="201"/>
      <c r="F920" s="201"/>
      <c r="I920" s="201"/>
      <c r="N920" s="201"/>
      <c r="O920" s="201"/>
      <c r="S920" s="201"/>
      <c r="T920" s="201"/>
      <c r="AB920" s="201"/>
      <c r="AC920" s="201"/>
      <c r="AD920" s="201"/>
      <c r="AE920" s="201"/>
      <c r="AF920" s="201"/>
      <c r="AG920" s="201"/>
      <c r="AH920" s="201"/>
      <c r="AI920" s="201"/>
      <c r="AJ920" s="201"/>
      <c r="AN920" s="201"/>
      <c r="AP920" s="201"/>
      <c r="AT920" s="201"/>
      <c r="AU920" s="201"/>
    </row>
    <row r="921" ht="15.75" customHeight="1">
      <c r="A921" s="200"/>
      <c r="B921" s="201"/>
      <c r="C921" s="201"/>
      <c r="D921" s="201"/>
      <c r="E921" s="201"/>
      <c r="F921" s="201"/>
      <c r="I921" s="201"/>
      <c r="N921" s="201"/>
      <c r="O921" s="201"/>
      <c r="S921" s="201"/>
      <c r="T921" s="201"/>
      <c r="AB921" s="201"/>
      <c r="AC921" s="201"/>
      <c r="AD921" s="201"/>
      <c r="AE921" s="201"/>
      <c r="AF921" s="201"/>
      <c r="AG921" s="201"/>
      <c r="AH921" s="201"/>
      <c r="AI921" s="201"/>
      <c r="AJ921" s="201"/>
      <c r="AN921" s="201"/>
      <c r="AP921" s="201"/>
      <c r="AT921" s="201"/>
      <c r="AU921" s="201"/>
    </row>
    <row r="922" ht="15.75" customHeight="1">
      <c r="A922" s="200"/>
      <c r="B922" s="201"/>
      <c r="C922" s="201"/>
      <c r="D922" s="201"/>
      <c r="E922" s="201"/>
      <c r="F922" s="201"/>
      <c r="I922" s="201"/>
      <c r="N922" s="201"/>
      <c r="O922" s="201"/>
      <c r="S922" s="201"/>
      <c r="T922" s="201"/>
      <c r="AB922" s="201"/>
      <c r="AC922" s="201"/>
      <c r="AD922" s="201"/>
      <c r="AE922" s="201"/>
      <c r="AF922" s="201"/>
      <c r="AG922" s="201"/>
      <c r="AH922" s="201"/>
      <c r="AI922" s="201"/>
      <c r="AJ922" s="201"/>
      <c r="AN922" s="201"/>
      <c r="AP922" s="201"/>
      <c r="AT922" s="201"/>
      <c r="AU922" s="201"/>
    </row>
    <row r="923" ht="15.75" customHeight="1">
      <c r="A923" s="200"/>
      <c r="B923" s="201"/>
      <c r="C923" s="201"/>
      <c r="D923" s="201"/>
      <c r="E923" s="201"/>
      <c r="F923" s="201"/>
      <c r="I923" s="201"/>
      <c r="N923" s="201"/>
      <c r="O923" s="201"/>
      <c r="S923" s="201"/>
      <c r="T923" s="201"/>
      <c r="AB923" s="201"/>
      <c r="AC923" s="201"/>
      <c r="AD923" s="201"/>
      <c r="AE923" s="201"/>
      <c r="AF923" s="201"/>
      <c r="AG923" s="201"/>
      <c r="AH923" s="201"/>
      <c r="AI923" s="201"/>
      <c r="AJ923" s="201"/>
      <c r="AN923" s="201"/>
      <c r="AP923" s="201"/>
      <c r="AT923" s="201"/>
      <c r="AU923" s="201"/>
    </row>
    <row r="924" ht="15.75" customHeight="1">
      <c r="A924" s="200"/>
      <c r="B924" s="201"/>
      <c r="C924" s="201"/>
      <c r="D924" s="201"/>
      <c r="E924" s="201"/>
      <c r="F924" s="201"/>
      <c r="I924" s="201"/>
      <c r="N924" s="201"/>
      <c r="O924" s="201"/>
      <c r="S924" s="201"/>
      <c r="T924" s="201"/>
      <c r="AB924" s="201"/>
      <c r="AC924" s="201"/>
      <c r="AD924" s="201"/>
      <c r="AE924" s="201"/>
      <c r="AF924" s="201"/>
      <c r="AG924" s="201"/>
      <c r="AH924" s="201"/>
      <c r="AI924" s="201"/>
      <c r="AJ924" s="201"/>
      <c r="AN924" s="201"/>
      <c r="AP924" s="201"/>
      <c r="AT924" s="201"/>
      <c r="AU924" s="201"/>
    </row>
    <row r="925" ht="15.75" customHeight="1">
      <c r="A925" s="200"/>
      <c r="B925" s="201"/>
      <c r="C925" s="201"/>
      <c r="D925" s="201"/>
      <c r="E925" s="201"/>
      <c r="F925" s="201"/>
      <c r="I925" s="201"/>
      <c r="N925" s="201"/>
      <c r="O925" s="201"/>
      <c r="S925" s="201"/>
      <c r="T925" s="201"/>
      <c r="AB925" s="201"/>
      <c r="AC925" s="201"/>
      <c r="AD925" s="201"/>
      <c r="AE925" s="201"/>
      <c r="AF925" s="201"/>
      <c r="AG925" s="201"/>
      <c r="AH925" s="201"/>
      <c r="AI925" s="201"/>
      <c r="AJ925" s="201"/>
      <c r="AN925" s="201"/>
      <c r="AP925" s="201"/>
      <c r="AT925" s="201"/>
      <c r="AU925" s="201"/>
    </row>
    <row r="926" ht="15.75" customHeight="1">
      <c r="A926" s="200"/>
      <c r="B926" s="201"/>
      <c r="C926" s="201"/>
      <c r="D926" s="201"/>
      <c r="E926" s="201"/>
      <c r="F926" s="201"/>
      <c r="I926" s="201"/>
      <c r="N926" s="201"/>
      <c r="O926" s="201"/>
      <c r="S926" s="201"/>
      <c r="T926" s="201"/>
      <c r="AB926" s="201"/>
      <c r="AC926" s="201"/>
      <c r="AD926" s="201"/>
      <c r="AE926" s="201"/>
      <c r="AF926" s="201"/>
      <c r="AG926" s="201"/>
      <c r="AH926" s="201"/>
      <c r="AI926" s="201"/>
      <c r="AJ926" s="201"/>
      <c r="AN926" s="201"/>
      <c r="AP926" s="201"/>
      <c r="AT926" s="201"/>
      <c r="AU926" s="201"/>
    </row>
    <row r="927" ht="15.75" customHeight="1">
      <c r="A927" s="200"/>
      <c r="B927" s="201"/>
      <c r="C927" s="201"/>
      <c r="D927" s="201"/>
      <c r="E927" s="201"/>
      <c r="F927" s="201"/>
      <c r="I927" s="201"/>
      <c r="N927" s="201"/>
      <c r="O927" s="201"/>
      <c r="S927" s="201"/>
      <c r="T927" s="201"/>
      <c r="AB927" s="201"/>
      <c r="AC927" s="201"/>
      <c r="AD927" s="201"/>
      <c r="AE927" s="201"/>
      <c r="AF927" s="201"/>
      <c r="AG927" s="201"/>
      <c r="AH927" s="201"/>
      <c r="AI927" s="201"/>
      <c r="AJ927" s="201"/>
      <c r="AN927" s="201"/>
      <c r="AP927" s="201"/>
      <c r="AT927" s="201"/>
      <c r="AU927" s="201"/>
    </row>
    <row r="928" ht="15.75" customHeight="1">
      <c r="A928" s="200"/>
      <c r="B928" s="201"/>
      <c r="C928" s="201"/>
      <c r="D928" s="201"/>
      <c r="E928" s="201"/>
      <c r="F928" s="201"/>
      <c r="I928" s="201"/>
      <c r="N928" s="201"/>
      <c r="O928" s="201"/>
      <c r="S928" s="201"/>
      <c r="T928" s="201"/>
      <c r="AB928" s="201"/>
      <c r="AC928" s="201"/>
      <c r="AD928" s="201"/>
      <c r="AE928" s="201"/>
      <c r="AF928" s="201"/>
      <c r="AG928" s="201"/>
      <c r="AH928" s="201"/>
      <c r="AI928" s="201"/>
      <c r="AJ928" s="201"/>
      <c r="AN928" s="201"/>
      <c r="AP928" s="201"/>
      <c r="AT928" s="201"/>
      <c r="AU928" s="201"/>
    </row>
    <row r="929" ht="15.75" customHeight="1">
      <c r="A929" s="200"/>
      <c r="B929" s="201"/>
      <c r="C929" s="201"/>
      <c r="D929" s="201"/>
      <c r="E929" s="201"/>
      <c r="F929" s="201"/>
      <c r="I929" s="201"/>
      <c r="N929" s="201"/>
      <c r="O929" s="201"/>
      <c r="S929" s="201"/>
      <c r="T929" s="201"/>
      <c r="AB929" s="201"/>
      <c r="AC929" s="201"/>
      <c r="AD929" s="201"/>
      <c r="AE929" s="201"/>
      <c r="AF929" s="201"/>
      <c r="AG929" s="201"/>
      <c r="AH929" s="201"/>
      <c r="AI929" s="201"/>
      <c r="AJ929" s="201"/>
      <c r="AN929" s="201"/>
      <c r="AP929" s="201"/>
      <c r="AT929" s="201"/>
      <c r="AU929" s="201"/>
    </row>
    <row r="930" ht="15.75" customHeight="1">
      <c r="A930" s="200"/>
      <c r="B930" s="201"/>
      <c r="C930" s="201"/>
      <c r="D930" s="201"/>
      <c r="E930" s="201"/>
      <c r="F930" s="201"/>
      <c r="I930" s="201"/>
      <c r="N930" s="201"/>
      <c r="O930" s="201"/>
      <c r="S930" s="201"/>
      <c r="T930" s="201"/>
      <c r="AB930" s="201"/>
      <c r="AC930" s="201"/>
      <c r="AD930" s="201"/>
      <c r="AE930" s="201"/>
      <c r="AF930" s="201"/>
      <c r="AG930" s="201"/>
      <c r="AH930" s="201"/>
      <c r="AI930" s="201"/>
      <c r="AJ930" s="201"/>
      <c r="AN930" s="201"/>
      <c r="AP930" s="201"/>
      <c r="AT930" s="201"/>
      <c r="AU930" s="201"/>
    </row>
    <row r="931" ht="15.75" customHeight="1">
      <c r="A931" s="200"/>
      <c r="B931" s="201"/>
      <c r="C931" s="201"/>
      <c r="D931" s="201"/>
      <c r="E931" s="201"/>
      <c r="F931" s="201"/>
      <c r="I931" s="201"/>
      <c r="N931" s="201"/>
      <c r="O931" s="201"/>
      <c r="S931" s="201"/>
      <c r="T931" s="201"/>
      <c r="AB931" s="201"/>
      <c r="AC931" s="201"/>
      <c r="AD931" s="201"/>
      <c r="AE931" s="201"/>
      <c r="AF931" s="201"/>
      <c r="AG931" s="201"/>
      <c r="AH931" s="201"/>
      <c r="AI931" s="201"/>
      <c r="AJ931" s="201"/>
      <c r="AN931" s="201"/>
      <c r="AP931" s="201"/>
      <c r="AT931" s="201"/>
      <c r="AU931" s="201"/>
    </row>
    <row r="932" ht="15.75" customHeight="1">
      <c r="A932" s="200"/>
      <c r="B932" s="201"/>
      <c r="C932" s="201"/>
      <c r="D932" s="201"/>
      <c r="E932" s="201"/>
      <c r="F932" s="201"/>
      <c r="I932" s="201"/>
      <c r="N932" s="201"/>
      <c r="O932" s="201"/>
      <c r="S932" s="201"/>
      <c r="T932" s="201"/>
      <c r="AB932" s="201"/>
      <c r="AC932" s="201"/>
      <c r="AD932" s="201"/>
      <c r="AE932" s="201"/>
      <c r="AF932" s="201"/>
      <c r="AG932" s="201"/>
      <c r="AH932" s="201"/>
      <c r="AI932" s="201"/>
      <c r="AJ932" s="201"/>
      <c r="AN932" s="201"/>
      <c r="AP932" s="201"/>
      <c r="AT932" s="201"/>
      <c r="AU932" s="201"/>
    </row>
    <row r="933" ht="15.75" customHeight="1">
      <c r="A933" s="200"/>
      <c r="B933" s="201"/>
      <c r="C933" s="201"/>
      <c r="D933" s="201"/>
      <c r="E933" s="201"/>
      <c r="F933" s="201"/>
      <c r="I933" s="201"/>
      <c r="N933" s="201"/>
      <c r="O933" s="201"/>
      <c r="S933" s="201"/>
      <c r="T933" s="201"/>
      <c r="AB933" s="201"/>
      <c r="AC933" s="201"/>
      <c r="AD933" s="201"/>
      <c r="AE933" s="201"/>
      <c r="AF933" s="201"/>
      <c r="AG933" s="201"/>
      <c r="AH933" s="201"/>
      <c r="AI933" s="201"/>
      <c r="AJ933" s="201"/>
      <c r="AN933" s="201"/>
      <c r="AP933" s="201"/>
      <c r="AT933" s="201"/>
      <c r="AU933" s="201"/>
    </row>
    <row r="934" ht="15.75" customHeight="1">
      <c r="A934" s="200"/>
      <c r="B934" s="201"/>
      <c r="C934" s="201"/>
      <c r="D934" s="201"/>
      <c r="E934" s="201"/>
      <c r="F934" s="201"/>
      <c r="I934" s="201"/>
      <c r="N934" s="201"/>
      <c r="O934" s="201"/>
      <c r="S934" s="201"/>
      <c r="T934" s="201"/>
      <c r="AB934" s="201"/>
      <c r="AC934" s="201"/>
      <c r="AD934" s="201"/>
      <c r="AE934" s="201"/>
      <c r="AF934" s="201"/>
      <c r="AG934" s="201"/>
      <c r="AH934" s="201"/>
      <c r="AI934" s="201"/>
      <c r="AJ934" s="201"/>
      <c r="AN934" s="201"/>
      <c r="AP934" s="201"/>
      <c r="AT934" s="201"/>
      <c r="AU934" s="201"/>
    </row>
    <row r="935" ht="15.75" customHeight="1">
      <c r="A935" s="200"/>
      <c r="B935" s="201"/>
      <c r="C935" s="201"/>
      <c r="D935" s="201"/>
      <c r="E935" s="201"/>
      <c r="F935" s="201"/>
      <c r="I935" s="201"/>
      <c r="N935" s="201"/>
      <c r="O935" s="201"/>
      <c r="S935" s="201"/>
      <c r="T935" s="201"/>
      <c r="AB935" s="201"/>
      <c r="AC935" s="201"/>
      <c r="AD935" s="201"/>
      <c r="AE935" s="201"/>
      <c r="AF935" s="201"/>
      <c r="AG935" s="201"/>
      <c r="AH935" s="201"/>
      <c r="AI935" s="201"/>
      <c r="AJ935" s="201"/>
      <c r="AN935" s="201"/>
      <c r="AP935" s="201"/>
      <c r="AT935" s="201"/>
      <c r="AU935" s="201"/>
    </row>
    <row r="936" ht="15.75" customHeight="1">
      <c r="A936" s="200"/>
      <c r="B936" s="201"/>
      <c r="C936" s="201"/>
      <c r="D936" s="201"/>
      <c r="E936" s="201"/>
      <c r="F936" s="201"/>
      <c r="I936" s="201"/>
      <c r="N936" s="201"/>
      <c r="O936" s="201"/>
      <c r="S936" s="201"/>
      <c r="T936" s="201"/>
      <c r="AB936" s="201"/>
      <c r="AC936" s="201"/>
      <c r="AD936" s="201"/>
      <c r="AE936" s="201"/>
      <c r="AF936" s="201"/>
      <c r="AG936" s="201"/>
      <c r="AH936" s="201"/>
      <c r="AI936" s="201"/>
      <c r="AJ936" s="201"/>
      <c r="AN936" s="201"/>
      <c r="AP936" s="201"/>
      <c r="AT936" s="201"/>
      <c r="AU936" s="201"/>
    </row>
    <row r="937" ht="15.75" customHeight="1">
      <c r="A937" s="200"/>
      <c r="B937" s="201"/>
      <c r="C937" s="201"/>
      <c r="D937" s="201"/>
      <c r="E937" s="201"/>
      <c r="F937" s="201"/>
      <c r="I937" s="201"/>
      <c r="N937" s="201"/>
      <c r="O937" s="201"/>
      <c r="S937" s="201"/>
      <c r="T937" s="201"/>
      <c r="AB937" s="201"/>
      <c r="AC937" s="201"/>
      <c r="AD937" s="201"/>
      <c r="AE937" s="201"/>
      <c r="AF937" s="201"/>
      <c r="AG937" s="201"/>
      <c r="AH937" s="201"/>
      <c r="AI937" s="201"/>
      <c r="AJ937" s="201"/>
      <c r="AN937" s="201"/>
      <c r="AP937" s="201"/>
      <c r="AT937" s="201"/>
      <c r="AU937" s="201"/>
    </row>
    <row r="938" ht="15.75" customHeight="1">
      <c r="A938" s="200"/>
      <c r="B938" s="201"/>
      <c r="C938" s="201"/>
      <c r="D938" s="201"/>
      <c r="E938" s="201"/>
      <c r="F938" s="201"/>
      <c r="I938" s="201"/>
      <c r="N938" s="201"/>
      <c r="O938" s="201"/>
      <c r="S938" s="201"/>
      <c r="T938" s="201"/>
      <c r="AB938" s="201"/>
      <c r="AC938" s="201"/>
      <c r="AD938" s="201"/>
      <c r="AE938" s="201"/>
      <c r="AF938" s="201"/>
      <c r="AG938" s="201"/>
      <c r="AH938" s="201"/>
      <c r="AI938" s="201"/>
      <c r="AJ938" s="201"/>
      <c r="AN938" s="201"/>
      <c r="AP938" s="201"/>
      <c r="AT938" s="201"/>
      <c r="AU938" s="201"/>
    </row>
    <row r="939" ht="15.75" customHeight="1">
      <c r="A939" s="200"/>
      <c r="B939" s="201"/>
      <c r="C939" s="201"/>
      <c r="D939" s="201"/>
      <c r="E939" s="201"/>
      <c r="F939" s="201"/>
      <c r="I939" s="201"/>
      <c r="N939" s="201"/>
      <c r="O939" s="201"/>
      <c r="S939" s="201"/>
      <c r="T939" s="201"/>
      <c r="AB939" s="201"/>
      <c r="AC939" s="201"/>
      <c r="AD939" s="201"/>
      <c r="AE939" s="201"/>
      <c r="AF939" s="201"/>
      <c r="AG939" s="201"/>
      <c r="AH939" s="201"/>
      <c r="AI939" s="201"/>
      <c r="AJ939" s="201"/>
      <c r="AN939" s="201"/>
      <c r="AP939" s="201"/>
      <c r="AT939" s="201"/>
      <c r="AU939" s="201"/>
    </row>
    <row r="940" ht="15.75" customHeight="1">
      <c r="A940" s="200"/>
      <c r="B940" s="201"/>
      <c r="C940" s="201"/>
      <c r="D940" s="201"/>
      <c r="E940" s="201"/>
      <c r="F940" s="201"/>
      <c r="I940" s="201"/>
      <c r="N940" s="201"/>
      <c r="O940" s="201"/>
      <c r="S940" s="201"/>
      <c r="T940" s="201"/>
      <c r="AB940" s="201"/>
      <c r="AC940" s="201"/>
      <c r="AD940" s="201"/>
      <c r="AE940" s="201"/>
      <c r="AF940" s="201"/>
      <c r="AG940" s="201"/>
      <c r="AH940" s="201"/>
      <c r="AI940" s="201"/>
      <c r="AJ940" s="201"/>
      <c r="AN940" s="201"/>
      <c r="AP940" s="201"/>
      <c r="AT940" s="201"/>
      <c r="AU940" s="201"/>
    </row>
    <row r="941" ht="15.75" customHeight="1">
      <c r="A941" s="200"/>
      <c r="B941" s="201"/>
      <c r="C941" s="201"/>
      <c r="D941" s="201"/>
      <c r="E941" s="201"/>
      <c r="F941" s="201"/>
      <c r="I941" s="201"/>
      <c r="N941" s="201"/>
      <c r="O941" s="201"/>
      <c r="S941" s="201"/>
      <c r="T941" s="201"/>
      <c r="AB941" s="201"/>
      <c r="AC941" s="201"/>
      <c r="AD941" s="201"/>
      <c r="AE941" s="201"/>
      <c r="AF941" s="201"/>
      <c r="AG941" s="201"/>
      <c r="AH941" s="201"/>
      <c r="AI941" s="201"/>
      <c r="AJ941" s="201"/>
      <c r="AN941" s="201"/>
      <c r="AP941" s="201"/>
      <c r="AT941" s="201"/>
      <c r="AU941" s="201"/>
    </row>
    <row r="942" ht="15.75" customHeight="1">
      <c r="A942" s="200"/>
      <c r="B942" s="201"/>
      <c r="C942" s="201"/>
      <c r="D942" s="201"/>
      <c r="E942" s="201"/>
      <c r="F942" s="201"/>
      <c r="I942" s="201"/>
      <c r="N942" s="201"/>
      <c r="O942" s="201"/>
      <c r="S942" s="201"/>
      <c r="T942" s="201"/>
      <c r="AB942" s="201"/>
      <c r="AC942" s="201"/>
      <c r="AD942" s="201"/>
      <c r="AE942" s="201"/>
      <c r="AF942" s="201"/>
      <c r="AG942" s="201"/>
      <c r="AH942" s="201"/>
      <c r="AI942" s="201"/>
      <c r="AJ942" s="201"/>
      <c r="AN942" s="201"/>
      <c r="AP942" s="201"/>
      <c r="AT942" s="201"/>
      <c r="AU942" s="201"/>
    </row>
    <row r="943" ht="15.75" customHeight="1">
      <c r="A943" s="200"/>
      <c r="B943" s="201"/>
      <c r="C943" s="201"/>
      <c r="D943" s="201"/>
      <c r="E943" s="201"/>
      <c r="F943" s="201"/>
      <c r="I943" s="201"/>
      <c r="N943" s="201"/>
      <c r="O943" s="201"/>
      <c r="S943" s="201"/>
      <c r="T943" s="201"/>
      <c r="AB943" s="201"/>
      <c r="AC943" s="201"/>
      <c r="AD943" s="201"/>
      <c r="AE943" s="201"/>
      <c r="AF943" s="201"/>
      <c r="AG943" s="201"/>
      <c r="AH943" s="201"/>
      <c r="AI943" s="201"/>
      <c r="AJ943" s="201"/>
      <c r="AN943" s="201"/>
      <c r="AP943" s="201"/>
      <c r="AT943" s="201"/>
      <c r="AU943" s="201"/>
    </row>
    <row r="944" ht="15.75" customHeight="1">
      <c r="A944" s="200"/>
      <c r="B944" s="201"/>
      <c r="C944" s="201"/>
      <c r="D944" s="201"/>
      <c r="E944" s="201"/>
      <c r="F944" s="201"/>
      <c r="I944" s="201"/>
      <c r="N944" s="201"/>
      <c r="O944" s="201"/>
      <c r="S944" s="201"/>
      <c r="T944" s="201"/>
      <c r="AB944" s="201"/>
      <c r="AC944" s="201"/>
      <c r="AD944" s="201"/>
      <c r="AE944" s="201"/>
      <c r="AF944" s="201"/>
      <c r="AG944" s="201"/>
      <c r="AH944" s="201"/>
      <c r="AI944" s="201"/>
      <c r="AJ944" s="201"/>
      <c r="AN944" s="201"/>
      <c r="AP944" s="201"/>
      <c r="AT944" s="201"/>
      <c r="AU944" s="201"/>
    </row>
    <row r="945" ht="15.75" customHeight="1">
      <c r="A945" s="200"/>
      <c r="B945" s="201"/>
      <c r="C945" s="201"/>
      <c r="D945" s="201"/>
      <c r="E945" s="201"/>
      <c r="F945" s="201"/>
      <c r="I945" s="201"/>
      <c r="N945" s="201"/>
      <c r="O945" s="201"/>
      <c r="S945" s="201"/>
      <c r="T945" s="201"/>
      <c r="AB945" s="201"/>
      <c r="AC945" s="201"/>
      <c r="AD945" s="201"/>
      <c r="AE945" s="201"/>
      <c r="AF945" s="201"/>
      <c r="AG945" s="201"/>
      <c r="AH945" s="201"/>
      <c r="AI945" s="201"/>
      <c r="AJ945" s="201"/>
      <c r="AN945" s="201"/>
      <c r="AP945" s="201"/>
      <c r="AT945" s="201"/>
      <c r="AU945" s="201"/>
    </row>
    <row r="946" ht="15.75" customHeight="1">
      <c r="A946" s="200"/>
      <c r="B946" s="201"/>
      <c r="C946" s="201"/>
      <c r="D946" s="201"/>
      <c r="E946" s="201"/>
      <c r="F946" s="201"/>
      <c r="I946" s="201"/>
      <c r="N946" s="201"/>
      <c r="O946" s="201"/>
      <c r="S946" s="201"/>
      <c r="T946" s="201"/>
      <c r="AB946" s="201"/>
      <c r="AC946" s="201"/>
      <c r="AD946" s="201"/>
      <c r="AE946" s="201"/>
      <c r="AF946" s="201"/>
      <c r="AG946" s="201"/>
      <c r="AH946" s="201"/>
      <c r="AI946" s="201"/>
      <c r="AJ946" s="201"/>
      <c r="AN946" s="201"/>
      <c r="AP946" s="201"/>
      <c r="AT946" s="201"/>
      <c r="AU946" s="201"/>
    </row>
    <row r="947" ht="15.75" customHeight="1">
      <c r="A947" s="200"/>
      <c r="B947" s="201"/>
      <c r="C947" s="201"/>
      <c r="D947" s="201"/>
      <c r="E947" s="201"/>
      <c r="F947" s="201"/>
      <c r="I947" s="201"/>
      <c r="N947" s="201"/>
      <c r="O947" s="201"/>
      <c r="S947" s="201"/>
      <c r="T947" s="201"/>
      <c r="AB947" s="201"/>
      <c r="AC947" s="201"/>
      <c r="AD947" s="201"/>
      <c r="AE947" s="201"/>
      <c r="AF947" s="201"/>
      <c r="AG947" s="201"/>
      <c r="AH947" s="201"/>
      <c r="AI947" s="201"/>
      <c r="AJ947" s="201"/>
      <c r="AN947" s="201"/>
      <c r="AP947" s="201"/>
      <c r="AT947" s="201"/>
      <c r="AU947" s="201"/>
    </row>
    <row r="948" ht="15.75" customHeight="1">
      <c r="A948" s="200"/>
      <c r="B948" s="201"/>
      <c r="C948" s="201"/>
      <c r="D948" s="201"/>
      <c r="E948" s="201"/>
      <c r="F948" s="201"/>
      <c r="I948" s="201"/>
      <c r="N948" s="201"/>
      <c r="O948" s="201"/>
      <c r="S948" s="201"/>
      <c r="T948" s="201"/>
      <c r="AB948" s="201"/>
      <c r="AC948" s="201"/>
      <c r="AD948" s="201"/>
      <c r="AE948" s="201"/>
      <c r="AF948" s="201"/>
      <c r="AG948" s="201"/>
      <c r="AH948" s="201"/>
      <c r="AI948" s="201"/>
      <c r="AJ948" s="201"/>
      <c r="AN948" s="201"/>
      <c r="AP948" s="201"/>
      <c r="AT948" s="201"/>
      <c r="AU948" s="201"/>
    </row>
    <row r="949" ht="15.75" customHeight="1">
      <c r="A949" s="200"/>
      <c r="B949" s="201"/>
      <c r="C949" s="201"/>
      <c r="D949" s="201"/>
      <c r="E949" s="201"/>
      <c r="F949" s="201"/>
      <c r="I949" s="201"/>
      <c r="N949" s="201"/>
      <c r="O949" s="201"/>
      <c r="S949" s="201"/>
      <c r="T949" s="201"/>
      <c r="AB949" s="201"/>
      <c r="AC949" s="201"/>
      <c r="AD949" s="201"/>
      <c r="AE949" s="201"/>
      <c r="AF949" s="201"/>
      <c r="AG949" s="201"/>
      <c r="AH949" s="201"/>
      <c r="AI949" s="201"/>
      <c r="AJ949" s="201"/>
      <c r="AN949" s="201"/>
      <c r="AP949" s="201"/>
      <c r="AT949" s="201"/>
      <c r="AU949" s="201"/>
    </row>
    <row r="950" ht="15.75" customHeight="1">
      <c r="A950" s="200"/>
      <c r="B950" s="201"/>
      <c r="C950" s="201"/>
      <c r="D950" s="201"/>
      <c r="E950" s="201"/>
      <c r="F950" s="201"/>
      <c r="I950" s="201"/>
      <c r="N950" s="201"/>
      <c r="O950" s="201"/>
      <c r="S950" s="201"/>
      <c r="T950" s="201"/>
      <c r="AB950" s="201"/>
      <c r="AC950" s="201"/>
      <c r="AD950" s="201"/>
      <c r="AE950" s="201"/>
      <c r="AF950" s="201"/>
      <c r="AG950" s="201"/>
      <c r="AH950" s="201"/>
      <c r="AI950" s="201"/>
      <c r="AJ950" s="201"/>
      <c r="AN950" s="201"/>
      <c r="AP950" s="201"/>
      <c r="AT950" s="201"/>
      <c r="AU950" s="201"/>
    </row>
    <row r="951" ht="15.75" customHeight="1">
      <c r="A951" s="200"/>
      <c r="B951" s="201"/>
      <c r="C951" s="201"/>
      <c r="D951" s="201"/>
      <c r="E951" s="201"/>
      <c r="F951" s="201"/>
      <c r="I951" s="201"/>
      <c r="N951" s="201"/>
      <c r="O951" s="201"/>
      <c r="S951" s="201"/>
      <c r="T951" s="201"/>
      <c r="AB951" s="201"/>
      <c r="AC951" s="201"/>
      <c r="AD951" s="201"/>
      <c r="AE951" s="201"/>
      <c r="AF951" s="201"/>
      <c r="AG951" s="201"/>
      <c r="AH951" s="201"/>
      <c r="AI951" s="201"/>
      <c r="AJ951" s="201"/>
      <c r="AN951" s="201"/>
      <c r="AP951" s="201"/>
      <c r="AT951" s="201"/>
      <c r="AU951" s="201"/>
    </row>
    <row r="952" ht="15.75" customHeight="1">
      <c r="A952" s="200"/>
      <c r="B952" s="201"/>
      <c r="C952" s="201"/>
      <c r="D952" s="201"/>
      <c r="E952" s="201"/>
      <c r="F952" s="201"/>
      <c r="I952" s="201"/>
      <c r="N952" s="201"/>
      <c r="O952" s="201"/>
      <c r="S952" s="201"/>
      <c r="T952" s="201"/>
      <c r="AB952" s="201"/>
      <c r="AC952" s="201"/>
      <c r="AD952" s="201"/>
      <c r="AE952" s="201"/>
      <c r="AF952" s="201"/>
      <c r="AG952" s="201"/>
      <c r="AH952" s="201"/>
      <c r="AI952" s="201"/>
      <c r="AJ952" s="201"/>
      <c r="AN952" s="201"/>
      <c r="AP952" s="201"/>
      <c r="AT952" s="201"/>
      <c r="AU952" s="201"/>
    </row>
    <row r="953" ht="15.75" customHeight="1">
      <c r="A953" s="200"/>
      <c r="B953" s="201"/>
      <c r="C953" s="201"/>
      <c r="D953" s="201"/>
      <c r="E953" s="201"/>
      <c r="F953" s="201"/>
      <c r="I953" s="201"/>
      <c r="N953" s="201"/>
      <c r="O953" s="201"/>
      <c r="S953" s="201"/>
      <c r="T953" s="201"/>
      <c r="AB953" s="201"/>
      <c r="AC953" s="201"/>
      <c r="AD953" s="201"/>
      <c r="AE953" s="201"/>
      <c r="AF953" s="201"/>
      <c r="AG953" s="201"/>
      <c r="AH953" s="201"/>
      <c r="AI953" s="201"/>
      <c r="AJ953" s="201"/>
      <c r="AN953" s="201"/>
      <c r="AP953" s="201"/>
      <c r="AT953" s="201"/>
      <c r="AU953" s="201"/>
    </row>
    <row r="954" ht="15.75" customHeight="1">
      <c r="A954" s="200"/>
      <c r="B954" s="201"/>
      <c r="C954" s="201"/>
      <c r="D954" s="201"/>
      <c r="E954" s="201"/>
      <c r="F954" s="201"/>
      <c r="I954" s="201"/>
      <c r="N954" s="201"/>
      <c r="O954" s="201"/>
      <c r="S954" s="201"/>
      <c r="T954" s="201"/>
      <c r="AB954" s="201"/>
      <c r="AC954" s="201"/>
      <c r="AD954" s="201"/>
      <c r="AE954" s="201"/>
      <c r="AF954" s="201"/>
      <c r="AG954" s="201"/>
      <c r="AH954" s="201"/>
      <c r="AI954" s="201"/>
      <c r="AJ954" s="201"/>
      <c r="AN954" s="201"/>
      <c r="AP954" s="201"/>
      <c r="AT954" s="201"/>
      <c r="AU954" s="201"/>
    </row>
    <row r="955" ht="15.75" customHeight="1">
      <c r="A955" s="200"/>
      <c r="B955" s="201"/>
      <c r="C955" s="201"/>
      <c r="D955" s="201"/>
      <c r="E955" s="201"/>
      <c r="F955" s="201"/>
      <c r="I955" s="201"/>
      <c r="N955" s="201"/>
      <c r="O955" s="201"/>
      <c r="S955" s="201"/>
      <c r="T955" s="201"/>
      <c r="AB955" s="201"/>
      <c r="AC955" s="201"/>
      <c r="AD955" s="201"/>
      <c r="AE955" s="201"/>
      <c r="AF955" s="201"/>
      <c r="AG955" s="201"/>
      <c r="AH955" s="201"/>
      <c r="AI955" s="201"/>
      <c r="AJ955" s="201"/>
      <c r="AN955" s="201"/>
      <c r="AP955" s="201"/>
      <c r="AT955" s="201"/>
      <c r="AU955" s="201"/>
    </row>
    <row r="956" ht="15.75" customHeight="1">
      <c r="A956" s="200"/>
      <c r="B956" s="201"/>
      <c r="C956" s="201"/>
      <c r="D956" s="201"/>
      <c r="E956" s="201"/>
      <c r="F956" s="201"/>
      <c r="I956" s="201"/>
      <c r="N956" s="201"/>
      <c r="O956" s="201"/>
      <c r="S956" s="201"/>
      <c r="T956" s="201"/>
      <c r="AB956" s="201"/>
      <c r="AC956" s="201"/>
      <c r="AD956" s="201"/>
      <c r="AE956" s="201"/>
      <c r="AF956" s="201"/>
      <c r="AG956" s="201"/>
      <c r="AH956" s="201"/>
      <c r="AI956" s="201"/>
      <c r="AJ956" s="201"/>
      <c r="AN956" s="201"/>
      <c r="AP956" s="201"/>
      <c r="AT956" s="201"/>
      <c r="AU956" s="201"/>
    </row>
    <row r="957" ht="15.75" customHeight="1">
      <c r="A957" s="200"/>
      <c r="B957" s="201"/>
      <c r="C957" s="201"/>
      <c r="D957" s="201"/>
      <c r="E957" s="201"/>
      <c r="F957" s="201"/>
      <c r="I957" s="201"/>
      <c r="N957" s="201"/>
      <c r="O957" s="201"/>
      <c r="S957" s="201"/>
      <c r="T957" s="201"/>
      <c r="AB957" s="201"/>
      <c r="AC957" s="201"/>
      <c r="AD957" s="201"/>
      <c r="AE957" s="201"/>
      <c r="AF957" s="201"/>
      <c r="AG957" s="201"/>
      <c r="AH957" s="201"/>
      <c r="AI957" s="201"/>
      <c r="AJ957" s="201"/>
      <c r="AN957" s="201"/>
      <c r="AP957" s="201"/>
      <c r="AT957" s="201"/>
      <c r="AU957" s="201"/>
    </row>
    <row r="958" ht="15.75" customHeight="1">
      <c r="A958" s="200"/>
      <c r="B958" s="201"/>
      <c r="C958" s="201"/>
      <c r="D958" s="201"/>
      <c r="E958" s="201"/>
      <c r="F958" s="201"/>
      <c r="I958" s="201"/>
      <c r="N958" s="201"/>
      <c r="O958" s="201"/>
      <c r="S958" s="201"/>
      <c r="T958" s="201"/>
      <c r="AB958" s="201"/>
      <c r="AC958" s="201"/>
      <c r="AD958" s="201"/>
      <c r="AE958" s="201"/>
      <c r="AF958" s="201"/>
      <c r="AG958" s="201"/>
      <c r="AH958" s="201"/>
      <c r="AI958" s="201"/>
      <c r="AJ958" s="201"/>
      <c r="AN958" s="201"/>
      <c r="AP958" s="201"/>
      <c r="AT958" s="201"/>
      <c r="AU958" s="201"/>
    </row>
    <row r="959" ht="15.75" customHeight="1">
      <c r="A959" s="200"/>
      <c r="B959" s="201"/>
      <c r="C959" s="201"/>
      <c r="D959" s="201"/>
      <c r="E959" s="201"/>
      <c r="F959" s="201"/>
      <c r="I959" s="201"/>
      <c r="N959" s="201"/>
      <c r="O959" s="201"/>
      <c r="S959" s="201"/>
      <c r="T959" s="201"/>
      <c r="AB959" s="201"/>
      <c r="AC959" s="201"/>
      <c r="AD959" s="201"/>
      <c r="AE959" s="201"/>
      <c r="AF959" s="201"/>
      <c r="AG959" s="201"/>
      <c r="AH959" s="201"/>
      <c r="AI959" s="201"/>
      <c r="AJ959" s="201"/>
      <c r="AN959" s="201"/>
      <c r="AP959" s="201"/>
      <c r="AT959" s="201"/>
      <c r="AU959" s="201"/>
    </row>
    <row r="960" ht="15.75" customHeight="1">
      <c r="A960" s="200"/>
      <c r="B960" s="201"/>
      <c r="C960" s="201"/>
      <c r="D960" s="201"/>
      <c r="E960" s="201"/>
      <c r="F960" s="201"/>
      <c r="I960" s="201"/>
      <c r="N960" s="201"/>
      <c r="O960" s="201"/>
      <c r="S960" s="201"/>
      <c r="T960" s="201"/>
      <c r="AB960" s="201"/>
      <c r="AC960" s="201"/>
      <c r="AD960" s="201"/>
      <c r="AE960" s="201"/>
      <c r="AF960" s="201"/>
      <c r="AG960" s="201"/>
      <c r="AH960" s="201"/>
      <c r="AI960" s="201"/>
      <c r="AJ960" s="201"/>
      <c r="AN960" s="201"/>
      <c r="AP960" s="201"/>
      <c r="AT960" s="201"/>
      <c r="AU960" s="201"/>
    </row>
    <row r="961" ht="15.75" customHeight="1">
      <c r="A961" s="200"/>
      <c r="B961" s="201"/>
      <c r="C961" s="201"/>
      <c r="D961" s="201"/>
      <c r="E961" s="201"/>
      <c r="F961" s="201"/>
      <c r="I961" s="201"/>
      <c r="N961" s="201"/>
      <c r="O961" s="201"/>
      <c r="S961" s="201"/>
      <c r="T961" s="201"/>
      <c r="AB961" s="201"/>
      <c r="AC961" s="201"/>
      <c r="AD961" s="201"/>
      <c r="AE961" s="201"/>
      <c r="AF961" s="201"/>
      <c r="AG961" s="201"/>
      <c r="AH961" s="201"/>
      <c r="AI961" s="201"/>
      <c r="AJ961" s="201"/>
      <c r="AN961" s="201"/>
      <c r="AP961" s="201"/>
      <c r="AT961" s="201"/>
      <c r="AU961" s="201"/>
    </row>
    <row r="962" ht="15.75" customHeight="1">
      <c r="A962" s="200"/>
      <c r="B962" s="201"/>
      <c r="C962" s="201"/>
      <c r="D962" s="201"/>
      <c r="E962" s="201"/>
      <c r="F962" s="201"/>
      <c r="I962" s="201"/>
      <c r="N962" s="201"/>
      <c r="O962" s="201"/>
      <c r="S962" s="201"/>
      <c r="T962" s="201"/>
      <c r="AB962" s="201"/>
      <c r="AC962" s="201"/>
      <c r="AD962" s="201"/>
      <c r="AE962" s="201"/>
      <c r="AF962" s="201"/>
      <c r="AG962" s="201"/>
      <c r="AH962" s="201"/>
      <c r="AI962" s="201"/>
      <c r="AJ962" s="201"/>
      <c r="AN962" s="201"/>
      <c r="AP962" s="201"/>
      <c r="AT962" s="201"/>
      <c r="AU962" s="201"/>
    </row>
    <row r="963" ht="15.75" customHeight="1">
      <c r="A963" s="200"/>
      <c r="B963" s="201"/>
      <c r="C963" s="201"/>
      <c r="D963" s="201"/>
      <c r="E963" s="201"/>
      <c r="F963" s="201"/>
      <c r="I963" s="201"/>
      <c r="N963" s="201"/>
      <c r="O963" s="201"/>
      <c r="S963" s="201"/>
      <c r="T963" s="201"/>
      <c r="AB963" s="201"/>
      <c r="AC963" s="201"/>
      <c r="AD963" s="201"/>
      <c r="AE963" s="201"/>
      <c r="AF963" s="201"/>
      <c r="AG963" s="201"/>
      <c r="AH963" s="201"/>
      <c r="AI963" s="201"/>
      <c r="AJ963" s="201"/>
      <c r="AN963" s="201"/>
      <c r="AP963" s="201"/>
      <c r="AT963" s="201"/>
      <c r="AU963" s="201"/>
    </row>
    <row r="964" ht="15.75" customHeight="1">
      <c r="A964" s="200"/>
      <c r="B964" s="201"/>
      <c r="C964" s="201"/>
      <c r="D964" s="201"/>
      <c r="E964" s="201"/>
      <c r="F964" s="201"/>
      <c r="I964" s="201"/>
      <c r="N964" s="201"/>
      <c r="O964" s="201"/>
      <c r="S964" s="201"/>
      <c r="T964" s="201"/>
      <c r="AB964" s="201"/>
      <c r="AC964" s="201"/>
      <c r="AD964" s="201"/>
      <c r="AE964" s="201"/>
      <c r="AF964" s="201"/>
      <c r="AG964" s="201"/>
      <c r="AH964" s="201"/>
      <c r="AI964" s="201"/>
      <c r="AJ964" s="201"/>
      <c r="AN964" s="201"/>
      <c r="AP964" s="201"/>
      <c r="AT964" s="201"/>
      <c r="AU964" s="201"/>
    </row>
    <row r="965" ht="15.75" customHeight="1">
      <c r="A965" s="200"/>
      <c r="B965" s="201"/>
      <c r="C965" s="201"/>
      <c r="D965" s="201"/>
      <c r="E965" s="201"/>
      <c r="F965" s="201"/>
      <c r="I965" s="201"/>
      <c r="N965" s="201"/>
      <c r="O965" s="201"/>
      <c r="S965" s="201"/>
      <c r="T965" s="201"/>
      <c r="AB965" s="201"/>
      <c r="AC965" s="201"/>
      <c r="AD965" s="201"/>
      <c r="AE965" s="201"/>
      <c r="AF965" s="201"/>
      <c r="AG965" s="201"/>
      <c r="AH965" s="201"/>
      <c r="AI965" s="201"/>
      <c r="AJ965" s="201"/>
      <c r="AN965" s="201"/>
      <c r="AP965" s="201"/>
      <c r="AT965" s="201"/>
      <c r="AU965" s="201"/>
    </row>
    <row r="966" ht="15.75" customHeight="1">
      <c r="A966" s="200"/>
      <c r="B966" s="201"/>
      <c r="C966" s="201"/>
      <c r="D966" s="201"/>
      <c r="E966" s="201"/>
      <c r="F966" s="201"/>
      <c r="I966" s="201"/>
      <c r="N966" s="201"/>
      <c r="O966" s="201"/>
      <c r="S966" s="201"/>
      <c r="T966" s="201"/>
      <c r="AB966" s="201"/>
      <c r="AC966" s="201"/>
      <c r="AD966" s="201"/>
      <c r="AE966" s="201"/>
      <c r="AF966" s="201"/>
      <c r="AG966" s="201"/>
      <c r="AH966" s="201"/>
      <c r="AI966" s="201"/>
      <c r="AJ966" s="201"/>
      <c r="AN966" s="201"/>
      <c r="AP966" s="201"/>
      <c r="AT966" s="201"/>
      <c r="AU966" s="201"/>
    </row>
    <row r="967" ht="15.75" customHeight="1">
      <c r="A967" s="200"/>
      <c r="B967" s="201"/>
      <c r="C967" s="201"/>
      <c r="D967" s="201"/>
      <c r="E967" s="201"/>
      <c r="F967" s="201"/>
      <c r="I967" s="201"/>
      <c r="N967" s="201"/>
      <c r="O967" s="201"/>
      <c r="S967" s="201"/>
      <c r="T967" s="201"/>
      <c r="AB967" s="201"/>
      <c r="AC967" s="201"/>
      <c r="AD967" s="201"/>
      <c r="AE967" s="201"/>
      <c r="AF967" s="201"/>
      <c r="AG967" s="201"/>
      <c r="AH967" s="201"/>
      <c r="AI967" s="201"/>
      <c r="AJ967" s="201"/>
      <c r="AN967" s="201"/>
      <c r="AP967" s="201"/>
      <c r="AT967" s="201"/>
      <c r="AU967" s="201"/>
    </row>
    <row r="968" ht="15.75" customHeight="1">
      <c r="A968" s="200"/>
      <c r="B968" s="201"/>
      <c r="C968" s="201"/>
      <c r="D968" s="201"/>
      <c r="E968" s="201"/>
      <c r="F968" s="201"/>
      <c r="I968" s="201"/>
      <c r="N968" s="201"/>
      <c r="O968" s="201"/>
      <c r="S968" s="201"/>
      <c r="T968" s="201"/>
      <c r="AB968" s="201"/>
      <c r="AC968" s="201"/>
      <c r="AD968" s="201"/>
      <c r="AE968" s="201"/>
      <c r="AF968" s="201"/>
      <c r="AG968" s="201"/>
      <c r="AH968" s="201"/>
      <c r="AI968" s="201"/>
      <c r="AJ968" s="201"/>
      <c r="AN968" s="201"/>
      <c r="AP968" s="201"/>
      <c r="AT968" s="201"/>
      <c r="AU968" s="201"/>
    </row>
    <row r="969" ht="15.75" customHeight="1">
      <c r="A969" s="200"/>
      <c r="B969" s="201"/>
      <c r="C969" s="201"/>
      <c r="D969" s="201"/>
      <c r="E969" s="201"/>
      <c r="F969" s="201"/>
      <c r="I969" s="201"/>
      <c r="N969" s="201"/>
      <c r="O969" s="201"/>
      <c r="S969" s="201"/>
      <c r="T969" s="201"/>
      <c r="AB969" s="201"/>
      <c r="AC969" s="201"/>
      <c r="AD969" s="201"/>
      <c r="AE969" s="201"/>
      <c r="AF969" s="201"/>
      <c r="AG969" s="201"/>
      <c r="AH969" s="201"/>
      <c r="AI969" s="201"/>
      <c r="AJ969" s="201"/>
      <c r="AN969" s="201"/>
      <c r="AP969" s="201"/>
      <c r="AT969" s="201"/>
      <c r="AU969" s="201"/>
    </row>
    <row r="970" ht="15.75" customHeight="1">
      <c r="A970" s="200"/>
      <c r="B970" s="201"/>
      <c r="C970" s="201"/>
      <c r="D970" s="201"/>
      <c r="E970" s="201"/>
      <c r="F970" s="201"/>
      <c r="I970" s="201"/>
      <c r="N970" s="201"/>
      <c r="O970" s="201"/>
      <c r="S970" s="201"/>
      <c r="T970" s="201"/>
      <c r="AB970" s="201"/>
      <c r="AC970" s="201"/>
      <c r="AD970" s="201"/>
      <c r="AE970" s="201"/>
      <c r="AF970" s="201"/>
      <c r="AG970" s="201"/>
      <c r="AH970" s="201"/>
      <c r="AI970" s="201"/>
      <c r="AJ970" s="201"/>
      <c r="AN970" s="201"/>
      <c r="AP970" s="201"/>
      <c r="AT970" s="201"/>
      <c r="AU970" s="201"/>
    </row>
    <row r="971" ht="15.75" customHeight="1">
      <c r="A971" s="200"/>
      <c r="B971" s="201"/>
      <c r="C971" s="201"/>
      <c r="D971" s="201"/>
      <c r="E971" s="201"/>
      <c r="F971" s="201"/>
      <c r="I971" s="201"/>
      <c r="N971" s="201"/>
      <c r="O971" s="201"/>
      <c r="S971" s="201"/>
      <c r="T971" s="201"/>
      <c r="AB971" s="201"/>
      <c r="AC971" s="201"/>
      <c r="AD971" s="201"/>
      <c r="AE971" s="201"/>
      <c r="AF971" s="201"/>
      <c r="AG971" s="201"/>
      <c r="AH971" s="201"/>
      <c r="AI971" s="201"/>
      <c r="AJ971" s="201"/>
      <c r="AN971" s="201"/>
      <c r="AP971" s="201"/>
      <c r="AT971" s="201"/>
      <c r="AU971" s="201"/>
    </row>
    <row r="972" ht="15.75" customHeight="1">
      <c r="A972" s="200"/>
      <c r="B972" s="201"/>
      <c r="C972" s="201"/>
      <c r="D972" s="201"/>
      <c r="E972" s="201"/>
      <c r="F972" s="201"/>
      <c r="I972" s="201"/>
      <c r="N972" s="201"/>
      <c r="O972" s="201"/>
      <c r="S972" s="201"/>
      <c r="T972" s="201"/>
      <c r="AB972" s="201"/>
      <c r="AC972" s="201"/>
      <c r="AD972" s="201"/>
      <c r="AE972" s="201"/>
      <c r="AF972" s="201"/>
      <c r="AG972" s="201"/>
      <c r="AH972" s="201"/>
      <c r="AI972" s="201"/>
      <c r="AJ972" s="201"/>
      <c r="AN972" s="201"/>
      <c r="AP972" s="201"/>
      <c r="AT972" s="201"/>
      <c r="AU972" s="201"/>
    </row>
    <row r="973" ht="15.75" customHeight="1">
      <c r="A973" s="200"/>
      <c r="B973" s="201"/>
      <c r="C973" s="201"/>
      <c r="D973" s="201"/>
      <c r="E973" s="201"/>
      <c r="F973" s="201"/>
      <c r="I973" s="201"/>
      <c r="N973" s="201"/>
      <c r="O973" s="201"/>
      <c r="S973" s="201"/>
      <c r="T973" s="201"/>
      <c r="AB973" s="201"/>
      <c r="AC973" s="201"/>
      <c r="AD973" s="201"/>
      <c r="AE973" s="201"/>
      <c r="AF973" s="201"/>
      <c r="AG973" s="201"/>
      <c r="AH973" s="201"/>
      <c r="AI973" s="201"/>
      <c r="AJ973" s="201"/>
      <c r="AN973" s="201"/>
      <c r="AP973" s="201"/>
      <c r="AT973" s="201"/>
      <c r="AU973" s="201"/>
    </row>
    <row r="974" ht="15.75" customHeight="1">
      <c r="A974" s="200"/>
      <c r="B974" s="201"/>
      <c r="C974" s="201"/>
      <c r="D974" s="201"/>
      <c r="E974" s="201"/>
      <c r="F974" s="201"/>
      <c r="I974" s="201"/>
      <c r="N974" s="201"/>
      <c r="O974" s="201"/>
      <c r="S974" s="201"/>
      <c r="T974" s="201"/>
      <c r="AB974" s="201"/>
      <c r="AC974" s="201"/>
      <c r="AD974" s="201"/>
      <c r="AE974" s="201"/>
      <c r="AF974" s="201"/>
      <c r="AG974" s="201"/>
      <c r="AH974" s="201"/>
      <c r="AI974" s="201"/>
      <c r="AJ974" s="201"/>
      <c r="AN974" s="201"/>
      <c r="AP974" s="201"/>
      <c r="AT974" s="201"/>
      <c r="AU974" s="201"/>
    </row>
    <row r="975" ht="15.75" customHeight="1">
      <c r="A975" s="200"/>
      <c r="B975" s="201"/>
      <c r="C975" s="201"/>
      <c r="D975" s="201"/>
      <c r="E975" s="201"/>
      <c r="F975" s="201"/>
      <c r="I975" s="201"/>
      <c r="N975" s="201"/>
      <c r="O975" s="201"/>
      <c r="S975" s="201"/>
      <c r="T975" s="201"/>
      <c r="AB975" s="201"/>
      <c r="AC975" s="201"/>
      <c r="AD975" s="201"/>
      <c r="AE975" s="201"/>
      <c r="AF975" s="201"/>
      <c r="AG975" s="201"/>
      <c r="AH975" s="201"/>
      <c r="AI975" s="201"/>
      <c r="AJ975" s="201"/>
      <c r="AN975" s="201"/>
      <c r="AP975" s="201"/>
      <c r="AT975" s="201"/>
      <c r="AU975" s="201"/>
    </row>
    <row r="976" ht="15.75" customHeight="1">
      <c r="A976" s="200"/>
      <c r="B976" s="201"/>
      <c r="C976" s="201"/>
      <c r="D976" s="201"/>
      <c r="E976" s="201"/>
      <c r="F976" s="201"/>
      <c r="I976" s="201"/>
      <c r="N976" s="201"/>
      <c r="O976" s="201"/>
      <c r="S976" s="201"/>
      <c r="T976" s="201"/>
      <c r="AB976" s="201"/>
      <c r="AC976" s="201"/>
      <c r="AD976" s="201"/>
      <c r="AE976" s="201"/>
      <c r="AF976" s="201"/>
      <c r="AG976" s="201"/>
      <c r="AH976" s="201"/>
      <c r="AI976" s="201"/>
      <c r="AJ976" s="201"/>
      <c r="AN976" s="201"/>
      <c r="AP976" s="201"/>
      <c r="AT976" s="201"/>
      <c r="AU976" s="201"/>
    </row>
    <row r="977" ht="15.75" customHeight="1">
      <c r="A977" s="200"/>
      <c r="B977" s="201"/>
      <c r="C977" s="201"/>
      <c r="D977" s="201"/>
      <c r="E977" s="201"/>
      <c r="F977" s="201"/>
      <c r="I977" s="201"/>
      <c r="N977" s="201"/>
      <c r="O977" s="201"/>
      <c r="S977" s="201"/>
      <c r="T977" s="201"/>
      <c r="AB977" s="201"/>
      <c r="AC977" s="201"/>
      <c r="AD977" s="201"/>
      <c r="AE977" s="201"/>
      <c r="AF977" s="201"/>
      <c r="AG977" s="201"/>
      <c r="AH977" s="201"/>
      <c r="AI977" s="201"/>
      <c r="AJ977" s="201"/>
      <c r="AN977" s="201"/>
      <c r="AP977" s="201"/>
      <c r="AT977" s="201"/>
      <c r="AU977" s="201"/>
    </row>
    <row r="978" ht="15.75" customHeight="1">
      <c r="A978" s="200"/>
      <c r="B978" s="201"/>
      <c r="C978" s="201"/>
      <c r="D978" s="201"/>
      <c r="E978" s="201"/>
      <c r="F978" s="201"/>
      <c r="I978" s="201"/>
      <c r="N978" s="201"/>
      <c r="O978" s="201"/>
      <c r="S978" s="201"/>
      <c r="T978" s="201"/>
      <c r="AB978" s="201"/>
      <c r="AC978" s="201"/>
      <c r="AD978" s="201"/>
      <c r="AE978" s="201"/>
      <c r="AF978" s="201"/>
      <c r="AG978" s="201"/>
      <c r="AH978" s="201"/>
      <c r="AI978" s="201"/>
      <c r="AJ978" s="201"/>
      <c r="AN978" s="201"/>
      <c r="AP978" s="201"/>
      <c r="AT978" s="201"/>
      <c r="AU978" s="201"/>
    </row>
    <row r="979" ht="15.75" customHeight="1">
      <c r="A979" s="200"/>
      <c r="B979" s="201"/>
      <c r="C979" s="201"/>
      <c r="D979" s="201"/>
      <c r="E979" s="201"/>
      <c r="F979" s="201"/>
      <c r="I979" s="201"/>
      <c r="N979" s="201"/>
      <c r="O979" s="201"/>
      <c r="S979" s="201"/>
      <c r="T979" s="201"/>
      <c r="AB979" s="201"/>
      <c r="AC979" s="201"/>
      <c r="AD979" s="201"/>
      <c r="AE979" s="201"/>
      <c r="AF979" s="201"/>
      <c r="AG979" s="201"/>
      <c r="AH979" s="201"/>
      <c r="AI979" s="201"/>
      <c r="AJ979" s="201"/>
      <c r="AN979" s="201"/>
      <c r="AP979" s="201"/>
      <c r="AT979" s="201"/>
      <c r="AU979" s="201"/>
    </row>
    <row r="980" ht="15.75" customHeight="1">
      <c r="A980" s="200"/>
      <c r="B980" s="201"/>
      <c r="C980" s="201"/>
      <c r="D980" s="201"/>
      <c r="E980" s="201"/>
      <c r="F980" s="201"/>
      <c r="I980" s="201"/>
      <c r="N980" s="201"/>
      <c r="O980" s="201"/>
      <c r="S980" s="201"/>
      <c r="T980" s="201"/>
      <c r="AB980" s="201"/>
      <c r="AC980" s="201"/>
      <c r="AD980" s="201"/>
      <c r="AE980" s="201"/>
      <c r="AF980" s="201"/>
      <c r="AG980" s="201"/>
      <c r="AH980" s="201"/>
      <c r="AI980" s="201"/>
      <c r="AJ980" s="201"/>
      <c r="AN980" s="201"/>
      <c r="AP980" s="201"/>
      <c r="AT980" s="201"/>
      <c r="AU980" s="201"/>
    </row>
    <row r="981" ht="15.75" customHeight="1">
      <c r="A981" s="200"/>
      <c r="B981" s="201"/>
      <c r="C981" s="201"/>
      <c r="D981" s="201"/>
      <c r="E981" s="201"/>
      <c r="F981" s="201"/>
      <c r="I981" s="201"/>
      <c r="N981" s="201"/>
      <c r="O981" s="201"/>
      <c r="S981" s="201"/>
      <c r="T981" s="201"/>
      <c r="AB981" s="201"/>
      <c r="AC981" s="201"/>
      <c r="AD981" s="201"/>
      <c r="AE981" s="201"/>
      <c r="AF981" s="201"/>
      <c r="AG981" s="201"/>
      <c r="AH981" s="201"/>
      <c r="AI981" s="201"/>
      <c r="AJ981" s="201"/>
      <c r="AN981" s="201"/>
      <c r="AP981" s="201"/>
      <c r="AT981" s="201"/>
      <c r="AU981" s="201"/>
    </row>
    <row r="982" ht="15.75" customHeight="1">
      <c r="A982" s="200"/>
      <c r="B982" s="201"/>
      <c r="C982" s="201"/>
      <c r="D982" s="201"/>
      <c r="E982" s="201"/>
      <c r="F982" s="201"/>
      <c r="I982" s="201"/>
      <c r="N982" s="201"/>
      <c r="O982" s="201"/>
      <c r="S982" s="201"/>
      <c r="T982" s="201"/>
      <c r="AB982" s="201"/>
      <c r="AC982" s="201"/>
      <c r="AD982" s="201"/>
      <c r="AE982" s="201"/>
      <c r="AF982" s="201"/>
      <c r="AG982" s="201"/>
      <c r="AH982" s="201"/>
      <c r="AI982" s="201"/>
      <c r="AJ982" s="201"/>
      <c r="AN982" s="201"/>
      <c r="AP982" s="201"/>
      <c r="AT982" s="201"/>
      <c r="AU982" s="201"/>
    </row>
    <row r="983" ht="15.75" customHeight="1">
      <c r="A983" s="200"/>
      <c r="B983" s="201"/>
      <c r="C983" s="201"/>
      <c r="D983" s="201"/>
      <c r="E983" s="201"/>
      <c r="F983" s="201"/>
      <c r="I983" s="201"/>
      <c r="N983" s="201"/>
      <c r="O983" s="201"/>
      <c r="S983" s="201"/>
      <c r="T983" s="201"/>
      <c r="AB983" s="201"/>
      <c r="AC983" s="201"/>
      <c r="AD983" s="201"/>
      <c r="AE983" s="201"/>
      <c r="AF983" s="201"/>
      <c r="AG983" s="201"/>
      <c r="AH983" s="201"/>
      <c r="AI983" s="201"/>
      <c r="AJ983" s="201"/>
      <c r="AN983" s="201"/>
      <c r="AP983" s="201"/>
      <c r="AT983" s="201"/>
      <c r="AU983" s="201"/>
    </row>
    <row r="984" ht="15.75" customHeight="1">
      <c r="A984" s="200"/>
      <c r="B984" s="201"/>
      <c r="C984" s="201"/>
      <c r="D984" s="201"/>
      <c r="E984" s="201"/>
      <c r="F984" s="201"/>
      <c r="I984" s="201"/>
      <c r="N984" s="201"/>
      <c r="O984" s="201"/>
      <c r="S984" s="201"/>
      <c r="T984" s="201"/>
      <c r="AB984" s="201"/>
      <c r="AC984" s="201"/>
      <c r="AD984" s="201"/>
      <c r="AE984" s="201"/>
      <c r="AF984" s="201"/>
      <c r="AG984" s="201"/>
      <c r="AH984" s="201"/>
      <c r="AI984" s="201"/>
      <c r="AJ984" s="201"/>
      <c r="AN984" s="201"/>
      <c r="AP984" s="201"/>
      <c r="AT984" s="201"/>
      <c r="AU984" s="201"/>
    </row>
    <row r="985" ht="15.75" customHeight="1">
      <c r="A985" s="200"/>
      <c r="B985" s="201"/>
      <c r="C985" s="201"/>
      <c r="D985" s="201"/>
      <c r="E985" s="201"/>
      <c r="F985" s="201"/>
      <c r="I985" s="201"/>
      <c r="N985" s="201"/>
      <c r="O985" s="201"/>
      <c r="S985" s="201"/>
      <c r="T985" s="201"/>
      <c r="AB985" s="201"/>
      <c r="AC985" s="201"/>
      <c r="AD985" s="201"/>
      <c r="AE985" s="201"/>
      <c r="AF985" s="201"/>
      <c r="AG985" s="201"/>
      <c r="AH985" s="201"/>
      <c r="AI985" s="201"/>
      <c r="AJ985" s="201"/>
      <c r="AN985" s="201"/>
      <c r="AP985" s="201"/>
      <c r="AT985" s="201"/>
      <c r="AU985" s="201"/>
    </row>
    <row r="986" ht="15.75" customHeight="1">
      <c r="A986" s="200"/>
      <c r="B986" s="201"/>
      <c r="C986" s="201"/>
      <c r="D986" s="201"/>
      <c r="E986" s="201"/>
      <c r="F986" s="201"/>
      <c r="I986" s="201"/>
      <c r="N986" s="201"/>
      <c r="O986" s="201"/>
      <c r="S986" s="201"/>
      <c r="T986" s="201"/>
      <c r="AB986" s="201"/>
      <c r="AC986" s="201"/>
      <c r="AD986" s="201"/>
      <c r="AE986" s="201"/>
      <c r="AF986" s="201"/>
      <c r="AG986" s="201"/>
      <c r="AH986" s="201"/>
      <c r="AI986" s="201"/>
      <c r="AJ986" s="201"/>
      <c r="AN986" s="201"/>
      <c r="AP986" s="201"/>
      <c r="AT986" s="201"/>
      <c r="AU986" s="201"/>
    </row>
    <row r="987" ht="15.75" customHeight="1">
      <c r="A987" s="200"/>
      <c r="B987" s="201"/>
      <c r="C987" s="201"/>
      <c r="D987" s="201"/>
      <c r="E987" s="201"/>
      <c r="F987" s="201"/>
      <c r="I987" s="201"/>
      <c r="N987" s="201"/>
      <c r="O987" s="201"/>
      <c r="S987" s="201"/>
      <c r="T987" s="201"/>
      <c r="AB987" s="201"/>
      <c r="AC987" s="201"/>
      <c r="AD987" s="201"/>
      <c r="AE987" s="201"/>
      <c r="AF987" s="201"/>
      <c r="AG987" s="201"/>
      <c r="AH987" s="201"/>
      <c r="AI987" s="201"/>
      <c r="AJ987" s="201"/>
      <c r="AN987" s="201"/>
      <c r="AP987" s="201"/>
      <c r="AT987" s="201"/>
      <c r="AU987" s="201"/>
    </row>
    <row r="988" ht="15.75" customHeight="1">
      <c r="A988" s="200"/>
      <c r="B988" s="201"/>
      <c r="C988" s="201"/>
      <c r="D988" s="201"/>
      <c r="E988" s="201"/>
      <c r="F988" s="201"/>
      <c r="I988" s="201"/>
      <c r="N988" s="201"/>
      <c r="O988" s="201"/>
      <c r="S988" s="201"/>
      <c r="T988" s="201"/>
      <c r="AB988" s="201"/>
      <c r="AC988" s="201"/>
      <c r="AD988" s="201"/>
      <c r="AE988" s="201"/>
      <c r="AF988" s="201"/>
      <c r="AG988" s="201"/>
      <c r="AH988" s="201"/>
      <c r="AI988" s="201"/>
      <c r="AJ988" s="201"/>
      <c r="AN988" s="201"/>
      <c r="AP988" s="201"/>
      <c r="AT988" s="201"/>
      <c r="AU988" s="201"/>
    </row>
    <row r="989" ht="15.75" customHeight="1">
      <c r="A989" s="200"/>
      <c r="B989" s="201"/>
      <c r="C989" s="201"/>
      <c r="D989" s="201"/>
      <c r="E989" s="201"/>
      <c r="F989" s="201"/>
      <c r="I989" s="201"/>
      <c r="N989" s="201"/>
      <c r="O989" s="201"/>
      <c r="S989" s="201"/>
      <c r="T989" s="201"/>
      <c r="AB989" s="201"/>
      <c r="AC989" s="201"/>
      <c r="AD989" s="201"/>
      <c r="AE989" s="201"/>
      <c r="AF989" s="201"/>
      <c r="AG989" s="201"/>
      <c r="AH989" s="201"/>
      <c r="AI989" s="201"/>
      <c r="AJ989" s="201"/>
      <c r="AN989" s="201"/>
      <c r="AP989" s="201"/>
      <c r="AT989" s="201"/>
      <c r="AU989" s="201"/>
    </row>
    <row r="990" ht="15.75" customHeight="1">
      <c r="A990" s="200"/>
      <c r="B990" s="201"/>
      <c r="C990" s="201"/>
      <c r="D990" s="201"/>
      <c r="E990" s="201"/>
      <c r="F990" s="201"/>
      <c r="I990" s="201"/>
      <c r="N990" s="201"/>
      <c r="O990" s="201"/>
      <c r="S990" s="201"/>
      <c r="T990" s="201"/>
      <c r="AB990" s="201"/>
      <c r="AC990" s="201"/>
      <c r="AD990" s="201"/>
      <c r="AE990" s="201"/>
      <c r="AF990" s="201"/>
      <c r="AG990" s="201"/>
      <c r="AH990" s="201"/>
      <c r="AI990" s="201"/>
      <c r="AJ990" s="201"/>
      <c r="AN990" s="201"/>
      <c r="AP990" s="201"/>
      <c r="AT990" s="201"/>
      <c r="AU990" s="201"/>
    </row>
    <row r="991" ht="15.75" customHeight="1">
      <c r="A991" s="200"/>
      <c r="B991" s="201"/>
      <c r="C991" s="201"/>
      <c r="D991" s="201"/>
      <c r="E991" s="201"/>
      <c r="F991" s="201"/>
      <c r="I991" s="201"/>
      <c r="N991" s="201"/>
      <c r="O991" s="201"/>
      <c r="S991" s="201"/>
      <c r="T991" s="201"/>
      <c r="AB991" s="201"/>
      <c r="AC991" s="201"/>
      <c r="AD991" s="201"/>
      <c r="AE991" s="201"/>
      <c r="AF991" s="201"/>
      <c r="AG991" s="201"/>
      <c r="AH991" s="201"/>
      <c r="AI991" s="201"/>
      <c r="AJ991" s="201"/>
      <c r="AN991" s="201"/>
      <c r="AP991" s="201"/>
      <c r="AT991" s="201"/>
      <c r="AU991" s="201"/>
    </row>
    <row r="992" ht="15.75" customHeight="1">
      <c r="A992" s="200"/>
      <c r="B992" s="201"/>
      <c r="C992" s="201"/>
      <c r="D992" s="201"/>
      <c r="E992" s="201"/>
      <c r="F992" s="201"/>
      <c r="I992" s="201"/>
      <c r="N992" s="201"/>
      <c r="O992" s="201"/>
      <c r="S992" s="201"/>
      <c r="T992" s="201"/>
      <c r="AB992" s="201"/>
      <c r="AC992" s="201"/>
      <c r="AD992" s="201"/>
      <c r="AE992" s="201"/>
      <c r="AF992" s="201"/>
      <c r="AG992" s="201"/>
      <c r="AH992" s="201"/>
      <c r="AI992" s="201"/>
      <c r="AJ992" s="201"/>
      <c r="AN992" s="201"/>
      <c r="AP992" s="201"/>
      <c r="AT992" s="201"/>
      <c r="AU992" s="201"/>
    </row>
    <row r="993" ht="15.75" customHeight="1">
      <c r="A993" s="200"/>
      <c r="B993" s="201"/>
      <c r="C993" s="201"/>
      <c r="D993" s="201"/>
      <c r="E993" s="201"/>
      <c r="F993" s="201"/>
      <c r="I993" s="201"/>
      <c r="N993" s="201"/>
      <c r="O993" s="201"/>
      <c r="S993" s="201"/>
      <c r="T993" s="201"/>
      <c r="AB993" s="201"/>
      <c r="AC993" s="201"/>
      <c r="AD993" s="201"/>
      <c r="AE993" s="201"/>
      <c r="AF993" s="201"/>
      <c r="AG993" s="201"/>
      <c r="AH993" s="201"/>
      <c r="AI993" s="201"/>
      <c r="AJ993" s="201"/>
      <c r="AN993" s="201"/>
      <c r="AP993" s="201"/>
      <c r="AT993" s="201"/>
      <c r="AU993" s="201"/>
    </row>
    <row r="994" ht="15.75" customHeight="1">
      <c r="A994" s="200"/>
      <c r="B994" s="201"/>
      <c r="C994" s="201"/>
      <c r="D994" s="201"/>
      <c r="E994" s="201"/>
      <c r="F994" s="201"/>
      <c r="I994" s="201"/>
      <c r="N994" s="201"/>
      <c r="O994" s="201"/>
      <c r="S994" s="201"/>
      <c r="T994" s="201"/>
      <c r="AB994" s="201"/>
      <c r="AC994" s="201"/>
      <c r="AD994" s="201"/>
      <c r="AE994" s="201"/>
      <c r="AF994" s="201"/>
      <c r="AG994" s="201"/>
      <c r="AH994" s="201"/>
      <c r="AI994" s="201"/>
      <c r="AJ994" s="201"/>
      <c r="AN994" s="201"/>
      <c r="AP994" s="201"/>
      <c r="AT994" s="201"/>
      <c r="AU994" s="201"/>
    </row>
    <row r="995" ht="15.75" customHeight="1">
      <c r="A995" s="200"/>
      <c r="B995" s="201"/>
      <c r="C995" s="201"/>
      <c r="D995" s="201"/>
      <c r="E995" s="201"/>
      <c r="F995" s="201"/>
      <c r="I995" s="201"/>
      <c r="N995" s="201"/>
      <c r="O995" s="201"/>
      <c r="S995" s="201"/>
      <c r="T995" s="201"/>
      <c r="AB995" s="201"/>
      <c r="AC995" s="201"/>
      <c r="AD995" s="201"/>
      <c r="AE995" s="201"/>
      <c r="AF995" s="201"/>
      <c r="AG995" s="201"/>
      <c r="AH995" s="201"/>
      <c r="AI995" s="201"/>
      <c r="AJ995" s="201"/>
      <c r="AN995" s="201"/>
      <c r="AP995" s="201"/>
      <c r="AT995" s="201"/>
      <c r="AU995" s="201"/>
    </row>
    <row r="996" ht="15.75" customHeight="1">
      <c r="A996" s="200"/>
      <c r="B996" s="201"/>
      <c r="C996" s="201"/>
      <c r="D996" s="201"/>
      <c r="E996" s="201"/>
      <c r="F996" s="201"/>
      <c r="I996" s="201"/>
      <c r="N996" s="201"/>
      <c r="O996" s="201"/>
      <c r="S996" s="201"/>
      <c r="T996" s="201"/>
      <c r="AB996" s="201"/>
      <c r="AC996" s="201"/>
      <c r="AD996" s="201"/>
      <c r="AE996" s="201"/>
      <c r="AF996" s="201"/>
      <c r="AG996" s="201"/>
      <c r="AH996" s="201"/>
      <c r="AI996" s="201"/>
      <c r="AJ996" s="201"/>
      <c r="AN996" s="201"/>
      <c r="AP996" s="201"/>
      <c r="AT996" s="201"/>
      <c r="AU996" s="201"/>
    </row>
    <row r="997" ht="15.75" customHeight="1">
      <c r="A997" s="200"/>
      <c r="B997" s="201"/>
      <c r="C997" s="201"/>
      <c r="D997" s="201"/>
      <c r="E997" s="201"/>
      <c r="F997" s="201"/>
      <c r="I997" s="201"/>
      <c r="N997" s="201"/>
      <c r="O997" s="201"/>
      <c r="S997" s="201"/>
      <c r="T997" s="201"/>
      <c r="AB997" s="201"/>
      <c r="AC997" s="201"/>
      <c r="AD997" s="201"/>
      <c r="AE997" s="201"/>
      <c r="AF997" s="201"/>
      <c r="AG997" s="201"/>
      <c r="AH997" s="201"/>
      <c r="AI997" s="201"/>
      <c r="AJ997" s="201"/>
      <c r="AN997" s="201"/>
      <c r="AP997" s="201"/>
      <c r="AT997" s="201"/>
      <c r="AU997" s="201"/>
    </row>
    <row r="998" ht="15.75" customHeight="1">
      <c r="A998" s="200"/>
      <c r="B998" s="201"/>
      <c r="C998" s="201"/>
      <c r="D998" s="201"/>
      <c r="E998" s="201"/>
      <c r="F998" s="201"/>
      <c r="I998" s="201"/>
      <c r="N998" s="201"/>
      <c r="O998" s="201"/>
      <c r="S998" s="201"/>
      <c r="T998" s="201"/>
      <c r="AB998" s="201"/>
      <c r="AC998" s="201"/>
      <c r="AD998" s="201"/>
      <c r="AE998" s="201"/>
      <c r="AF998" s="201"/>
      <c r="AG998" s="201"/>
      <c r="AH998" s="201"/>
      <c r="AI998" s="201"/>
      <c r="AJ998" s="201"/>
      <c r="AN998" s="201"/>
      <c r="AP998" s="201"/>
      <c r="AT998" s="201"/>
      <c r="AU998" s="201"/>
    </row>
    <row r="999" ht="15.75" customHeight="1">
      <c r="A999" s="200"/>
      <c r="B999" s="201"/>
      <c r="C999" s="201"/>
      <c r="D999" s="201"/>
      <c r="E999" s="201"/>
      <c r="F999" s="201"/>
      <c r="I999" s="201"/>
      <c r="N999" s="201"/>
      <c r="O999" s="201"/>
      <c r="S999" s="201"/>
      <c r="T999" s="201"/>
      <c r="AB999" s="201"/>
      <c r="AC999" s="201"/>
      <c r="AD999" s="201"/>
      <c r="AE999" s="201"/>
      <c r="AF999" s="201"/>
      <c r="AG999" s="201"/>
      <c r="AH999" s="201"/>
      <c r="AI999" s="201"/>
      <c r="AJ999" s="201"/>
      <c r="AN999" s="201"/>
      <c r="AP999" s="201"/>
      <c r="AT999" s="201"/>
      <c r="AU999" s="201"/>
    </row>
    <row r="1000" ht="15.75" customHeight="1">
      <c r="A1000" s="200"/>
      <c r="B1000" s="201"/>
      <c r="C1000" s="201"/>
      <c r="D1000" s="201"/>
      <c r="E1000" s="201"/>
      <c r="F1000" s="201"/>
      <c r="I1000" s="201"/>
      <c r="N1000" s="201"/>
      <c r="O1000" s="201"/>
      <c r="S1000" s="201"/>
      <c r="T1000" s="201"/>
      <c r="AB1000" s="201"/>
      <c r="AC1000" s="201"/>
      <c r="AD1000" s="201"/>
      <c r="AE1000" s="201"/>
      <c r="AF1000" s="201"/>
      <c r="AG1000" s="201"/>
      <c r="AH1000" s="201"/>
      <c r="AI1000" s="201"/>
      <c r="AJ1000" s="201"/>
      <c r="AN1000" s="201"/>
      <c r="AP1000" s="201"/>
      <c r="AT1000" s="201"/>
      <c r="AU1000" s="201"/>
    </row>
    <row r="1001" ht="15.75" customHeight="1">
      <c r="A1001" s="200"/>
      <c r="B1001" s="201"/>
      <c r="C1001" s="201"/>
      <c r="D1001" s="201"/>
      <c r="E1001" s="201"/>
      <c r="F1001" s="201"/>
      <c r="I1001" s="201"/>
      <c r="N1001" s="201"/>
      <c r="O1001" s="201"/>
      <c r="S1001" s="201"/>
      <c r="T1001" s="201"/>
      <c r="AB1001" s="201"/>
      <c r="AC1001" s="201"/>
      <c r="AD1001" s="201"/>
      <c r="AE1001" s="201"/>
      <c r="AF1001" s="201"/>
      <c r="AG1001" s="201"/>
      <c r="AH1001" s="201"/>
      <c r="AI1001" s="201"/>
      <c r="AJ1001" s="201"/>
      <c r="AN1001" s="201"/>
      <c r="AP1001" s="201"/>
      <c r="AT1001" s="201"/>
      <c r="AU1001" s="201"/>
    </row>
    <row r="1002" ht="15.75" customHeight="1">
      <c r="A1002" s="200"/>
      <c r="B1002" s="201"/>
      <c r="C1002" s="201"/>
      <c r="D1002" s="201"/>
      <c r="E1002" s="201"/>
      <c r="F1002" s="201"/>
      <c r="I1002" s="201"/>
      <c r="N1002" s="201"/>
      <c r="O1002" s="201"/>
      <c r="S1002" s="201"/>
      <c r="T1002" s="201"/>
      <c r="AB1002" s="201"/>
      <c r="AC1002" s="201"/>
      <c r="AD1002" s="201"/>
      <c r="AE1002" s="201"/>
      <c r="AF1002" s="201"/>
      <c r="AG1002" s="201"/>
      <c r="AH1002" s="201"/>
      <c r="AI1002" s="201"/>
      <c r="AJ1002" s="201"/>
      <c r="AN1002" s="201"/>
      <c r="AP1002" s="201"/>
      <c r="AT1002" s="201"/>
      <c r="AU1002" s="201"/>
    </row>
    <row r="1003" ht="15.75" customHeight="1">
      <c r="A1003" s="200"/>
      <c r="B1003" s="201"/>
      <c r="C1003" s="201"/>
      <c r="D1003" s="201"/>
      <c r="E1003" s="201"/>
      <c r="F1003" s="201"/>
      <c r="I1003" s="201"/>
      <c r="N1003" s="201"/>
      <c r="O1003" s="201"/>
      <c r="S1003" s="201"/>
      <c r="T1003" s="201"/>
      <c r="AB1003" s="201"/>
      <c r="AC1003" s="201"/>
      <c r="AD1003" s="201"/>
      <c r="AE1003" s="201"/>
      <c r="AF1003" s="201"/>
      <c r="AG1003" s="201"/>
      <c r="AH1003" s="201"/>
      <c r="AI1003" s="201"/>
      <c r="AJ1003" s="201"/>
      <c r="AN1003" s="201"/>
      <c r="AP1003" s="201"/>
      <c r="AT1003" s="201"/>
      <c r="AU1003" s="201"/>
    </row>
    <row r="1004" ht="15.75" customHeight="1">
      <c r="A1004" s="200"/>
      <c r="B1004" s="201"/>
      <c r="C1004" s="201"/>
      <c r="D1004" s="201"/>
      <c r="E1004" s="201"/>
      <c r="F1004" s="201"/>
      <c r="I1004" s="201"/>
      <c r="N1004" s="201"/>
      <c r="O1004" s="201"/>
      <c r="S1004" s="201"/>
      <c r="T1004" s="201"/>
      <c r="AB1004" s="201"/>
      <c r="AC1004" s="201"/>
      <c r="AD1004" s="201"/>
      <c r="AE1004" s="201"/>
      <c r="AF1004" s="201"/>
      <c r="AG1004" s="201"/>
      <c r="AH1004" s="201"/>
      <c r="AI1004" s="201"/>
      <c r="AJ1004" s="201"/>
      <c r="AN1004" s="201"/>
      <c r="AP1004" s="201"/>
      <c r="AT1004" s="201"/>
      <c r="AU1004" s="201"/>
    </row>
    <row r="1005" ht="15.75" customHeight="1">
      <c r="A1005" s="200"/>
      <c r="B1005" s="201"/>
      <c r="C1005" s="201"/>
      <c r="D1005" s="201"/>
      <c r="E1005" s="201"/>
      <c r="F1005" s="201"/>
      <c r="I1005" s="201"/>
      <c r="N1005" s="201"/>
      <c r="O1005" s="201"/>
      <c r="S1005" s="201"/>
      <c r="T1005" s="201"/>
      <c r="AB1005" s="201"/>
      <c r="AC1005" s="201"/>
      <c r="AD1005" s="201"/>
      <c r="AE1005" s="201"/>
      <c r="AF1005" s="201"/>
      <c r="AG1005" s="201"/>
      <c r="AH1005" s="201"/>
      <c r="AI1005" s="201"/>
      <c r="AJ1005" s="201"/>
      <c r="AN1005" s="201"/>
      <c r="AP1005" s="201"/>
      <c r="AT1005" s="201"/>
      <c r="AU1005" s="201"/>
    </row>
    <row r="1006" ht="15.75" customHeight="1">
      <c r="A1006" s="200"/>
      <c r="B1006" s="201"/>
      <c r="C1006" s="201"/>
      <c r="D1006" s="201"/>
      <c r="E1006" s="201"/>
      <c r="F1006" s="201"/>
      <c r="I1006" s="201"/>
      <c r="N1006" s="201"/>
      <c r="O1006" s="201"/>
      <c r="S1006" s="201"/>
      <c r="T1006" s="201"/>
      <c r="AB1006" s="201"/>
      <c r="AC1006" s="201"/>
      <c r="AD1006" s="201"/>
      <c r="AE1006" s="201"/>
      <c r="AF1006" s="201"/>
      <c r="AG1006" s="201"/>
      <c r="AH1006" s="201"/>
      <c r="AI1006" s="201"/>
      <c r="AJ1006" s="201"/>
      <c r="AN1006" s="201"/>
      <c r="AP1006" s="201"/>
      <c r="AT1006" s="201"/>
      <c r="AU1006" s="201"/>
    </row>
    <row r="1007" ht="15.75" customHeight="1">
      <c r="A1007" s="200"/>
      <c r="B1007" s="201"/>
      <c r="C1007" s="201"/>
      <c r="D1007" s="201"/>
      <c r="E1007" s="201"/>
      <c r="F1007" s="201"/>
      <c r="I1007" s="201"/>
      <c r="N1007" s="201"/>
      <c r="O1007" s="201"/>
      <c r="S1007" s="201"/>
      <c r="T1007" s="201"/>
      <c r="AB1007" s="201"/>
      <c r="AC1007" s="201"/>
      <c r="AD1007" s="201"/>
      <c r="AE1007" s="201"/>
      <c r="AF1007" s="201"/>
      <c r="AG1007" s="201"/>
      <c r="AH1007" s="201"/>
      <c r="AI1007" s="201"/>
      <c r="AJ1007" s="201"/>
      <c r="AN1007" s="201"/>
      <c r="AP1007" s="201"/>
      <c r="AT1007" s="201"/>
      <c r="AU1007" s="201"/>
    </row>
    <row r="1008" ht="15.75" customHeight="1">
      <c r="A1008" s="200"/>
      <c r="B1008" s="201"/>
      <c r="C1008" s="201"/>
      <c r="D1008" s="201"/>
      <c r="E1008" s="201"/>
      <c r="F1008" s="201"/>
      <c r="I1008" s="201"/>
      <c r="N1008" s="201"/>
      <c r="O1008" s="201"/>
      <c r="S1008" s="201"/>
      <c r="T1008" s="201"/>
      <c r="AB1008" s="201"/>
      <c r="AC1008" s="201"/>
      <c r="AD1008" s="201"/>
      <c r="AE1008" s="201"/>
      <c r="AF1008" s="201"/>
      <c r="AG1008" s="201"/>
      <c r="AH1008" s="201"/>
      <c r="AI1008" s="201"/>
      <c r="AJ1008" s="201"/>
      <c r="AN1008" s="201"/>
      <c r="AP1008" s="201"/>
      <c r="AT1008" s="201"/>
      <c r="AU1008" s="201"/>
    </row>
    <row r="1009" ht="15.75" customHeight="1">
      <c r="A1009" s="200"/>
      <c r="B1009" s="201"/>
      <c r="C1009" s="201"/>
      <c r="D1009" s="201"/>
      <c r="E1009" s="201"/>
      <c r="F1009" s="201"/>
      <c r="I1009" s="201"/>
      <c r="N1009" s="201"/>
      <c r="O1009" s="201"/>
      <c r="S1009" s="201"/>
      <c r="T1009" s="201"/>
      <c r="AB1009" s="201"/>
      <c r="AC1009" s="201"/>
      <c r="AD1009" s="201"/>
      <c r="AE1009" s="201"/>
      <c r="AF1009" s="201"/>
      <c r="AG1009" s="201"/>
      <c r="AH1009" s="201"/>
      <c r="AI1009" s="201"/>
      <c r="AJ1009" s="201"/>
      <c r="AN1009" s="201"/>
      <c r="AP1009" s="201"/>
      <c r="AT1009" s="201"/>
      <c r="AU1009" s="201"/>
    </row>
    <row r="1010" ht="15.75" customHeight="1">
      <c r="A1010" s="200"/>
      <c r="B1010" s="201"/>
      <c r="C1010" s="201"/>
      <c r="D1010" s="201"/>
      <c r="E1010" s="201"/>
      <c r="F1010" s="201"/>
      <c r="I1010" s="201"/>
      <c r="N1010" s="201"/>
      <c r="O1010" s="201"/>
      <c r="S1010" s="201"/>
      <c r="T1010" s="201"/>
      <c r="AB1010" s="201"/>
      <c r="AC1010" s="201"/>
      <c r="AD1010" s="201"/>
      <c r="AE1010" s="201"/>
      <c r="AF1010" s="201"/>
      <c r="AG1010" s="201"/>
      <c r="AH1010" s="201"/>
      <c r="AI1010" s="201"/>
      <c r="AJ1010" s="201"/>
      <c r="AN1010" s="201"/>
      <c r="AP1010" s="201"/>
      <c r="AT1010" s="201"/>
      <c r="AU1010" s="201"/>
    </row>
    <row r="1011" ht="15.75" customHeight="1">
      <c r="A1011" s="200"/>
      <c r="B1011" s="201"/>
      <c r="C1011" s="201"/>
      <c r="D1011" s="201"/>
      <c r="E1011" s="201"/>
      <c r="F1011" s="201"/>
      <c r="I1011" s="201"/>
      <c r="N1011" s="201"/>
      <c r="O1011" s="201"/>
      <c r="S1011" s="201"/>
      <c r="T1011" s="201"/>
      <c r="AB1011" s="201"/>
      <c r="AC1011" s="201"/>
      <c r="AD1011" s="201"/>
      <c r="AE1011" s="201"/>
      <c r="AF1011" s="201"/>
      <c r="AG1011" s="201"/>
      <c r="AH1011" s="201"/>
      <c r="AI1011" s="201"/>
      <c r="AJ1011" s="201"/>
      <c r="AN1011" s="201"/>
      <c r="AP1011" s="201"/>
      <c r="AT1011" s="201"/>
      <c r="AU1011" s="201"/>
    </row>
  </sheetData>
  <autoFilter ref="$A$1:$AY$152"/>
  <hyperlinks>
    <hyperlink r:id="rId2" ref="AS2"/>
    <hyperlink r:id="rId3" ref="AS3"/>
    <hyperlink r:id="rId4" ref="AS4"/>
    <hyperlink r:id="rId5" ref="AS5"/>
    <hyperlink r:id="rId6" ref="AS6"/>
    <hyperlink r:id="rId7" ref="AS7"/>
    <hyperlink r:id="rId8" ref="AS8"/>
    <hyperlink r:id="rId9" ref="AS9"/>
    <hyperlink r:id="rId10" ref="AS10"/>
    <hyperlink r:id="rId11" ref="AS11"/>
    <hyperlink r:id="rId12" ref="AS12"/>
    <hyperlink r:id="rId13" ref="AS13"/>
    <hyperlink r:id="rId14" ref="AS14"/>
    <hyperlink r:id="rId15" ref="AS15"/>
    <hyperlink r:id="rId16" ref="AS16"/>
    <hyperlink r:id="rId17" ref="AS17"/>
    <hyperlink r:id="rId18" ref="AS18"/>
    <hyperlink r:id="rId19" ref="AS19"/>
    <hyperlink r:id="rId20" ref="AS20"/>
    <hyperlink r:id="rId21" ref="AS21"/>
    <hyperlink r:id="rId22" ref="AS22"/>
    <hyperlink r:id="rId23" ref="AS23"/>
    <hyperlink r:id="rId24" ref="AS24"/>
    <hyperlink r:id="rId25" ref="AS25"/>
    <hyperlink r:id="rId26" ref="AS26"/>
    <hyperlink r:id="rId27" ref="AS27"/>
    <hyperlink r:id="rId28" ref="C28"/>
    <hyperlink r:id="rId29" ref="AS28"/>
    <hyperlink r:id="rId30" ref="C29"/>
    <hyperlink r:id="rId31" ref="AS29"/>
    <hyperlink r:id="rId32" ref="C30"/>
    <hyperlink r:id="rId33" ref="AS30"/>
    <hyperlink r:id="rId34" ref="C31"/>
    <hyperlink r:id="rId35" ref="AS31"/>
    <hyperlink r:id="rId36" ref="AS32"/>
    <hyperlink r:id="rId37" ref="AS33"/>
    <hyperlink r:id="rId38" ref="AS34"/>
    <hyperlink r:id="rId39" ref="AS35"/>
    <hyperlink r:id="rId40" ref="AS36"/>
    <hyperlink r:id="rId41" ref="AS37"/>
    <hyperlink r:id="rId42" ref="AR38"/>
    <hyperlink r:id="rId43" ref="AS38"/>
    <hyperlink r:id="rId44" ref="AS39"/>
    <hyperlink r:id="rId45" ref="C40"/>
    <hyperlink r:id="rId46" ref="AS40"/>
    <hyperlink r:id="rId47" ref="AS41"/>
    <hyperlink r:id="rId48" ref="AR42"/>
    <hyperlink r:id="rId49" ref="AS42"/>
    <hyperlink r:id="rId50" ref="AS43"/>
    <hyperlink r:id="rId51" ref="AS44"/>
    <hyperlink r:id="rId52" ref="AS45"/>
    <hyperlink r:id="rId53" ref="AS46"/>
    <hyperlink r:id="rId54" ref="C47"/>
    <hyperlink r:id="rId55" ref="AS47"/>
    <hyperlink r:id="rId56" ref="AS48"/>
    <hyperlink r:id="rId57" ref="AS49"/>
    <hyperlink r:id="rId58" ref="AS50"/>
    <hyperlink r:id="rId59" ref="AS51"/>
    <hyperlink r:id="rId60" ref="AS52"/>
    <hyperlink r:id="rId61" ref="AS53"/>
    <hyperlink r:id="rId62" ref="AS54"/>
    <hyperlink r:id="rId63" ref="AS55"/>
    <hyperlink r:id="rId64" ref="C56"/>
    <hyperlink r:id="rId65" ref="AR56"/>
    <hyperlink r:id="rId66" ref="AS56"/>
    <hyperlink r:id="rId67" ref="C57"/>
    <hyperlink r:id="rId68" ref="AS57"/>
    <hyperlink r:id="rId69" ref="C58"/>
    <hyperlink r:id="rId70" ref="AR58"/>
    <hyperlink r:id="rId71" ref="AS58"/>
    <hyperlink r:id="rId72" ref="C59"/>
    <hyperlink r:id="rId73" ref="AS59"/>
    <hyperlink r:id="rId74" ref="AS60"/>
    <hyperlink r:id="rId75" ref="AS62"/>
    <hyperlink r:id="rId76" ref="AS63"/>
    <hyperlink r:id="rId77" ref="AS64"/>
    <hyperlink r:id="rId78" ref="AS65"/>
    <hyperlink r:id="rId79" ref="AS66"/>
    <hyperlink r:id="rId80" ref="AS67"/>
    <hyperlink r:id="rId81" ref="AR68"/>
    <hyperlink r:id="rId82" ref="AS68"/>
    <hyperlink r:id="rId83" ref="C69"/>
    <hyperlink r:id="rId84" ref="AR69"/>
    <hyperlink r:id="rId85" ref="AS69"/>
    <hyperlink r:id="rId86" ref="AS70"/>
    <hyperlink r:id="rId87" ref="C71"/>
    <hyperlink r:id="rId88" location=":~:text=View%20full-text" ref="AS71"/>
    <hyperlink r:id="rId89" ref="C72"/>
    <hyperlink r:id="rId90" ref="AS72"/>
    <hyperlink r:id="rId91" ref="C73"/>
    <hyperlink r:id="rId92" ref="AS73"/>
    <hyperlink r:id="rId93" ref="C75"/>
    <hyperlink r:id="rId94" ref="AS75"/>
    <hyperlink r:id="rId95" ref="C76"/>
    <hyperlink r:id="rId96" ref="AS76"/>
    <hyperlink r:id="rId97" ref="C77"/>
    <hyperlink r:id="rId98" ref="AS77"/>
    <hyperlink r:id="rId99" ref="C78"/>
    <hyperlink r:id="rId100" ref="AS78"/>
    <hyperlink r:id="rId101" ref="AS79"/>
    <hyperlink r:id="rId102" ref="AS80"/>
    <hyperlink r:id="rId103" ref="AS81"/>
    <hyperlink r:id="rId104" ref="C82"/>
    <hyperlink r:id="rId105" ref="AS82"/>
    <hyperlink r:id="rId106" ref="AS83"/>
    <hyperlink r:id="rId107" ref="AS84"/>
    <hyperlink r:id="rId108" ref="C85"/>
    <hyperlink r:id="rId109" ref="AS85"/>
    <hyperlink r:id="rId110" ref="C86"/>
    <hyperlink r:id="rId111" ref="AS86"/>
    <hyperlink r:id="rId112" ref="AS87"/>
    <hyperlink r:id="rId113" ref="AS88"/>
    <hyperlink r:id="rId114" ref="AR89"/>
    <hyperlink r:id="rId115" ref="AS89"/>
    <hyperlink r:id="rId116" ref="AS90"/>
    <hyperlink r:id="rId117" ref="AS91"/>
    <hyperlink r:id="rId118" ref="AS92"/>
    <hyperlink r:id="rId119" ref="C93"/>
    <hyperlink r:id="rId120" ref="AS93"/>
    <hyperlink r:id="rId121" ref="C94"/>
    <hyperlink r:id="rId122" ref="AS94"/>
    <hyperlink r:id="rId123" ref="C95"/>
    <hyperlink r:id="rId124" ref="AS95"/>
    <hyperlink r:id="rId125" ref="C96"/>
    <hyperlink r:id="rId126" ref="AS96"/>
    <hyperlink r:id="rId127" ref="C97"/>
    <hyperlink r:id="rId128" ref="AR97"/>
    <hyperlink r:id="rId129" ref="AS97"/>
    <hyperlink r:id="rId130" ref="C98"/>
    <hyperlink r:id="rId131" ref="AR98"/>
    <hyperlink r:id="rId132" ref="AS98"/>
    <hyperlink r:id="rId133" ref="C99"/>
    <hyperlink r:id="rId134" ref="AS99"/>
    <hyperlink r:id="rId135" ref="C100"/>
    <hyperlink r:id="rId136" ref="AR100"/>
    <hyperlink r:id="rId137" ref="AS100"/>
    <hyperlink r:id="rId138" ref="C101"/>
    <hyperlink r:id="rId139" ref="AR101"/>
    <hyperlink r:id="rId140" ref="AS101"/>
    <hyperlink r:id="rId141" ref="C102"/>
    <hyperlink r:id="rId142" ref="AR102"/>
    <hyperlink r:id="rId143" ref="AS102"/>
    <hyperlink r:id="rId144" ref="C103"/>
    <hyperlink r:id="rId145" ref="AR103"/>
    <hyperlink r:id="rId146" ref="AS103"/>
    <hyperlink r:id="rId147" ref="AS104"/>
    <hyperlink r:id="rId148" ref="AS105"/>
    <hyperlink r:id="rId149" ref="AS106"/>
    <hyperlink r:id="rId150" ref="AS107"/>
    <hyperlink r:id="rId151" ref="AS108"/>
    <hyperlink r:id="rId152" ref="C109"/>
    <hyperlink r:id="rId153" ref="AS109"/>
    <hyperlink r:id="rId154" ref="C110"/>
    <hyperlink r:id="rId155" ref="AS110"/>
    <hyperlink r:id="rId156" ref="C111"/>
    <hyperlink r:id="rId157" ref="AS111"/>
    <hyperlink r:id="rId158" ref="AS112"/>
    <hyperlink r:id="rId159" ref="AS113"/>
    <hyperlink r:id="rId160" ref="AS114"/>
    <hyperlink r:id="rId161" ref="AS115"/>
    <hyperlink r:id="rId162" ref="AS116"/>
    <hyperlink r:id="rId163" ref="AS117"/>
    <hyperlink r:id="rId164" ref="AS118"/>
    <hyperlink r:id="rId165" ref="AS119"/>
    <hyperlink r:id="rId166" ref="AS120"/>
    <hyperlink r:id="rId167" ref="AS121"/>
    <hyperlink r:id="rId168" ref="C122"/>
    <hyperlink r:id="rId169" ref="AS122"/>
    <hyperlink r:id="rId170" ref="C123"/>
    <hyperlink r:id="rId171" ref="AS123"/>
    <hyperlink r:id="rId172" ref="AS124"/>
    <hyperlink r:id="rId173" ref="AS125"/>
    <hyperlink r:id="rId174" ref="C126"/>
    <hyperlink r:id="rId175" ref="AS126"/>
    <hyperlink r:id="rId176" ref="AS127"/>
    <hyperlink r:id="rId177" ref="AS128"/>
    <hyperlink r:id="rId178" ref="AS129"/>
    <hyperlink r:id="rId179" ref="AS130"/>
    <hyperlink r:id="rId180" ref="AS131"/>
    <hyperlink r:id="rId181" location=":~:text=device%20like%20the%20ESP,36%20mJ35%20%2C%2060" ref="AS132"/>
    <hyperlink r:id="rId182" ref="AS133"/>
    <hyperlink r:id="rId183" ref="C134"/>
    <hyperlink r:id="rId184" ref="AS134"/>
    <hyperlink r:id="rId185" ref="C135"/>
    <hyperlink r:id="rId186" ref="AS135"/>
    <hyperlink r:id="rId187" ref="C136"/>
    <hyperlink r:id="rId188" ref="AS136"/>
    <hyperlink r:id="rId189" ref="C138"/>
    <hyperlink r:id="rId190" ref="AS138"/>
    <hyperlink r:id="rId191" ref="C139"/>
    <hyperlink r:id="rId192" ref="AS139"/>
    <hyperlink r:id="rId193" ref="C140"/>
    <hyperlink r:id="rId194" ref="AS140"/>
    <hyperlink r:id="rId195" ref="C141"/>
    <hyperlink r:id="rId196" ref="AS141"/>
    <hyperlink r:id="rId197" ref="C142"/>
    <hyperlink r:id="rId198" ref="AS142"/>
    <hyperlink r:id="rId199" ref="C143"/>
    <hyperlink r:id="rId200" ref="AS143"/>
    <hyperlink r:id="rId201" ref="C144"/>
    <hyperlink r:id="rId202" ref="AS144"/>
    <hyperlink r:id="rId203" ref="C145"/>
    <hyperlink r:id="rId204" ref="AS145"/>
    <hyperlink r:id="rId205" ref="C146"/>
    <hyperlink r:id="rId206" ref="AS146"/>
    <hyperlink r:id="rId207" ref="C147"/>
    <hyperlink r:id="rId208" ref="AS147"/>
    <hyperlink r:id="rId209" ref="C148"/>
    <hyperlink r:id="rId210" ref="AS148"/>
    <hyperlink r:id="rId211" ref="C149"/>
    <hyperlink r:id="rId212" ref="AS149"/>
    <hyperlink r:id="rId213" ref="C150"/>
    <hyperlink r:id="rId214" ref="AS150"/>
    <hyperlink r:id="rId215" ref="C151"/>
    <hyperlink r:id="rId216" ref="AS151"/>
    <hyperlink r:id="rId217" ref="C152"/>
    <hyperlink r:id="rId218" ref="AS152"/>
  </hyperlinks>
  <printOptions/>
  <pageMargins bottom="1.0" footer="0.0" header="0.0" left="0.75" right="0.75" top="1.0"/>
  <pageSetup orientation="landscape"/>
  <drawing r:id="rId219"/>
  <legacyDrawing r:id="rId2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2026-03-01T06:49:30Z</dcterms:created>
  <dc:creator>openpyxl</dc:creator>
</cp:coreProperties>
</file>
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Sheet1!$A$1:$AB$1206</definedName>
  </definedNames>
  <calcPr/>
  <extLst>
    <ext uri="GoogleSheetsCustomDataVersion2">
      <go:sheetsCustomData xmlns:go="http://customooxmlschemas.google.com/" r:id="rId5" roundtripDataChecksum="tiYAmuwGk0AYdp9Vb1Ep9wxyGR5Mc535qXqtB4ERs6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87">
      <text>
        <t xml:space="preserve">======
ID#AAAB3CGRRns
Yasmine Tohamy    (2026-04-05 17:31:32)
might change to IN_WITH_CONDITION</t>
      </text>
    </comment>
    <comment authorId="0" ref="M222">
      <text>
        <t xml:space="preserve">======
ID#AAAB3BkHQ7Y
Afia Murtaza    (2026-04-05 06:27:44)
review again also benchmarks on arduino</t>
      </text>
    </comment>
    <comment authorId="0" ref="A1">
      <text>
        <t xml:space="preserve">======
ID#AAAB1OcY1v4
Prof. Mo (Instructor)    (2026-03-01 08:18:50)
INSTRUCTOR FEEDBACK (R4 — Pilot Screening: 10/30)
33 papers screened by 6 reviewers (S1-S6). Good paper identification with 29 papers included in core corpus.
CRITICAL ISSUE: Zero papers have genuine independent dual review. The 6 papers with "dual" reviews (T0021-T0026) were all reviewed by the SAME reviewer (S5) — not independent. Your PRISMA document describes "Double-Blind Swap methodology with 3 pairs of reviewers" which shows excellent planning, but this was not executed in the screening_log.
M2 ACTION: Execute the planned Double-Blind Swap methodology. Assign pairs of independent reviewers to at least 20 papers. Each reviewer records their own decision in a separate row. Calculate percent agreement (target &gt;=80%).</t>
      </text>
    </comment>
  </commentList>
  <extLst>
    <ext uri="GoogleSheetsCustomDataVersion2">
      <go:sheetsCustomData xmlns:go="http://customooxmlschemas.google.com/" r:id="rId1" roundtripDataSignature="AMtx7mj2XHFO0SvOl2hM0dGdb4OlnakodA=="/>
    </ext>
  </extLst>
</comments>
</file>

<file path=xl/sharedStrings.xml><?xml version="1.0" encoding="utf-8"?>
<sst xmlns="http://schemas.openxmlformats.org/spreadsheetml/2006/main" count="2970" uniqueCount="1037">
  <si>
    <t>Audio/KWS</t>
  </si>
  <si>
    <t>paper_id</t>
  </si>
  <si>
    <t>domain_group</t>
  </si>
  <si>
    <t>source</t>
  </si>
  <si>
    <t>search_query</t>
  </si>
  <si>
    <t>search_date</t>
  </si>
  <si>
    <t>screen_stage</t>
  </si>
  <si>
    <t>reviewer</t>
  </si>
  <si>
    <t>decision</t>
  </si>
  <si>
    <t>agreement</t>
  </si>
  <si>
    <t>final_decision</t>
  </si>
  <si>
    <t>reason_codes</t>
  </si>
  <si>
    <t>notes</t>
  </si>
  <si>
    <t>link</t>
  </si>
  <si>
    <t>Included</t>
  </si>
  <si>
    <t>Agreed</t>
  </si>
  <si>
    <t>S101</t>
  </si>
  <si>
    <t>T0033</t>
  </si>
  <si>
    <t>IoT</t>
  </si>
  <si>
    <t>IEEE Xplore</t>
  </si>
  <si>
    <t>TinyML AND KWS AND MCU</t>
  </si>
  <si>
    <t>18/02/2026</t>
  </si>
  <si>
    <t>FullText</t>
  </si>
  <si>
    <t>S4</t>
  </si>
  <si>
    <t>Exclude</t>
  </si>
  <si>
    <t>Yes</t>
  </si>
  <si>
    <t>EX_NO_DEPLOY</t>
  </si>
  <si>
    <t>Claims MCU feasibility but no actual deployment. Reports only MAC and parameter count (Table 1), no measured latency, energy, or RAM/Flash usage.</t>
  </si>
  <si>
    <t>https://ieeexplore.ieee.org/document/10546828</t>
  </si>
  <si>
    <t>Excluded</t>
  </si>
  <si>
    <t>Disagreed</t>
  </si>
  <si>
    <t>S102</t>
  </si>
  <si>
    <t>S5</t>
  </si>
  <si>
    <t>EX_NO_DEPLOY and EX_NO_METRICS</t>
  </si>
  <si>
    <t>No MCU deployment</t>
  </si>
  <si>
    <t>Agreement</t>
  </si>
  <si>
    <t>S103</t>
  </si>
  <si>
    <t>T0032</t>
  </si>
  <si>
    <t>(("TinyML" OR "Edge AI") AND ("Acoustic Event Detection" OR "Sound Classification") AND ("Cortex-M" OR "Microcontroller"))</t>
  </si>
  <si>
    <t>Hardware-aware architecture design targeting MCUs but no specific MCU platform named and no on-device deployment or measured latency/energy. Reports parameters and MACs only.</t>
  </si>
  <si>
    <t>https://ieeexplore.ieee.org/document/9746093</t>
  </si>
  <si>
    <t xml:space="preserve"> </t>
  </si>
  <si>
    <t>S104</t>
  </si>
  <si>
    <t>No explicit MCU-class on-device inference deployment is reported; the paper does not provide on-device deployment metrics</t>
  </si>
  <si>
    <t>S105</t>
  </si>
  <si>
    <t>T0005</t>
  </si>
  <si>
    <t>("TinyML" OR "Microcontroller") AND ("Audio" OR "Keyword Spotting") AND ("Power Consumption" OR "Milliwatts" OR "mW")</t>
  </si>
  <si>
    <t>Include</t>
  </si>
  <si>
    <t>IN</t>
  </si>
  <si>
    <t>Real MCU deployment on Arduino Nano 33 BLE Sense and Portenta H7. Reports measured inference time, training latency, SRAM usage breakdown, and current consumption during operation. Fully traceable hardware evaluation.</t>
  </si>
  <si>
    <t>https://ieeexplore.ieee.org/document/9797171</t>
  </si>
  <si>
    <t>S106</t>
  </si>
  <si>
    <t>Demonstrates on-device MCU deployment of the model and reports platform plus at least two deployment metrics</t>
  </si>
  <si>
    <t>S107</t>
  </si>
  <si>
    <t>T0006</t>
  </si>
  <si>
    <t>("TensorFlow Lite Micro" OR "TFLite Micro" OR "Edge Impulse") AND ("Voice" OR "Keyword Spotting") AND ("Home" OR "Appliance")</t>
  </si>
  <si>
    <t>Real deployment on Arduino Nano 33 BLE Sense. Reports measured inference latency (4ms), peak RAM (12.7kB), and flash usage (51.3kB) in Table 1. IoT smart home water management application.</t>
  </si>
  <si>
    <t>https://ieeexplore.ieee.org/document/11382566</t>
  </si>
  <si>
    <t>S108</t>
  </si>
  <si>
    <t>Performs on-device deployment on MCU class hardware and also reports all the necessary metrics.</t>
  </si>
  <si>
    <t>S109</t>
  </si>
  <si>
    <t>T0007</t>
  </si>
  <si>
    <t>Scopus / DOAJ</t>
  </si>
  <si>
    <t>("Keyword Spotting System" AND "Nano 33 BLE Sense") AND ("Embedded Machine Learning")</t>
  </si>
  <si>
    <t>Jurnal Teknologi 2023 (Scopus-indexed). KWS on Arduino Nano BLE Sense, reports latency (26ms) and accuracy (84.5%), smart home application. Good TinyML deployment paper for S1 (Audio/KWS).</t>
  </si>
  <si>
    <t>https://journals.utm.my/jurnalteknologi/article/view/18744</t>
  </si>
  <si>
    <t>S110</t>
  </si>
  <si>
    <t xml:space="preserve">Excellent example of a deployable smart home mcu compatible architecture </t>
  </si>
  <si>
    <t>S111</t>
  </si>
  <si>
    <t>T0008</t>
  </si>
  <si>
    <t>("Offline Voice Control" OR "Keyword Spotting") AND ("Smart Home" OR "Light Switch") AND ("ESP32" OR "Arduino") AND ("TensorFlow Lite")</t>
  </si>
  <si>
    <t>MECO 2024, deploys on Arduino Nano BLE for both weather station and KWS</t>
  </si>
  <si>
    <t>https://ieeexplore.ieee.org/document/10577837</t>
  </si>
  <si>
    <t>S112</t>
  </si>
  <si>
    <t>S113</t>
  </si>
  <si>
    <t>T0058</t>
  </si>
  <si>
    <t>("TinyML" OR "Edge AI") AND "Keyword Spotting" AND ("Microcontroller" OR "MCU")</t>
  </si>
  <si>
    <t>Real deployment on GAP9 MCU (RISC-V). Reports measured power (6.1–8.2 mW), latency, memory (SRAM/Flash), and training energy. Fully traceable with power breakdown and memory tables. IoT/smart home domain.</t>
  </si>
  <si>
    <t>https://ieeexplore.ieee.org/stamp/stamp.jsp?arnumber=10816645</t>
  </si>
  <si>
    <t>S114</t>
  </si>
  <si>
    <t>Deployed on a GAP9 MCU and reported the latency, memory and energy.</t>
  </si>
  <si>
    <t>S115</t>
  </si>
  <si>
    <t>T0059</t>
  </si>
  <si>
    <t>Real deployment on GAP9 MCU (RISC-V). Reports measured power (26 mW avg during training), latency (13.5 s adaptation), energy (357 mJ), and memory (10 kB on-chip for classifier-only training). Full traceability with power traces, memory tables, and EDP comparisons. IoT/smart home domain.</t>
  </si>
  <si>
    <t>https://ieeexplore.ieee.org/stamp/stamp.jsp?tp=&amp;arnumber=11352794</t>
  </si>
  <si>
    <t>S116</t>
  </si>
  <si>
    <t>Similar deployment architecture like the previous paper, also reports all the metrics required.</t>
  </si>
  <si>
    <t>S117</t>
  </si>
  <si>
    <t>T0060</t>
  </si>
  <si>
    <t>("TensorFlow Lite Micro" OR "CMSIS-NN") AND "Keyword Spotting" AND ("mJ" OR "mW")</t>
  </si>
  <si>
    <t>Hardware-aware NAS targeting ST SensorTile (ARM Cortex-M4). Reports memory footprint and only model-based latency estimates (roofline model with ~25% error). Preprocessing and quantization explored, but no physical deployment power/latency measurements. Storage requirements reported, but no measured on-device metrics from actual hardware execution.</t>
  </si>
  <si>
    <t>https://ieeexplore.ieee.org/stamp/stamp.jsp?tp=&amp;arnumber=9755991</t>
  </si>
  <si>
    <t>S118</t>
  </si>
  <si>
    <t>Deployed on an ARM Cortex-M4, also performed preprocessing and quantization. Reported memory and latency estimates.</t>
  </si>
  <si>
    <t>S119</t>
  </si>
  <si>
    <t>T0062</t>
  </si>
  <si>
    <t>("Keyword Spotting" OR "Wake Word") AND ("Microcontroller" OR "MCU")</t>
  </si>
  <si>
    <t>EX_NO_METRICS</t>
  </si>
  <si>
    <t>Platform (Arduino Nano 33 BLE Sense) + memory (47.6 KB RAM, 172.5 KB Flash) reported. Missing measured latency AND energy/power. Does not meet requirement for at least two of (latency, energy/power, memory) with measured metrics from deployed model.</t>
  </si>
  <si>
    <t>https://ieeexplore.ieee.org/stamp/stamp.jsp?tp=&amp;arnumber=10520459</t>
  </si>
  <si>
    <t>S120</t>
  </si>
  <si>
    <t>Deployed on an Arduino Nano 33 BLE Sense but only memory reported, no energy or latency reported.</t>
  </si>
  <si>
    <t>S121</t>
  </si>
  <si>
    <t>T0063</t>
  </si>
  <si>
    <t>EX_OUT_OF_SCOPE</t>
  </si>
  <si>
    <t>Not a TinyML paper. Uses dedicated speech recognition chip (LD3320) with embedded DTW algorithm, not a machine learning model deployed on a resource-constrained MCU via TinyML frameworks. No ML training, quantization, or on-device ML inference. Falls outside TinyML scope definition.</t>
  </si>
  <si>
    <t>https://ieeexplore.ieee.org/document/11339771</t>
  </si>
  <si>
    <t>S122</t>
  </si>
  <si>
    <t>No TinyML model deployment (uses dedicated ASR chip LD3320); missing deployment metrics (latency/energy/memory for model).</t>
  </si>
  <si>
    <t>S123</t>
  </si>
  <si>
    <t>T0064</t>
  </si>
  <si>
    <t>No on-device deployment. Paper proposes algorithmic framework (curriculum learning + distillation) for noise-robust KWS but does not deploy or measure performance on physical MCU hardware. No measured latency, power/energy, or memory usage reported.</t>
  </si>
  <si>
    <t>https://ieeexplore.ieee.org/document/10247011</t>
  </si>
  <si>
    <t>S124</t>
  </si>
  <si>
    <t>No on-device deployment</t>
  </si>
  <si>
    <t>S125</t>
  </si>
  <si>
    <t>T0065</t>
  </si>
  <si>
    <t>No on-device deployment. Paper proposes and evaluates CL algorithms on BNN model using TensorFlow on desktop, but does not deploy or measure performance on physical MCU hardware. No measured latency, power/energy, or memory usage. The authors explicitly state deployment "should be evaluated" as future work.</t>
  </si>
  <si>
    <t>https://ieeexplore.ieee.org/document/11105106</t>
  </si>
  <si>
    <t>S126</t>
  </si>
  <si>
    <t>Explores CL algorithms on BNN model using TensorFlow on computer but does not deploy or measure performance on physical MCU hardware, rather deployment treated as future work.</t>
  </si>
  <si>
    <t>S127</t>
  </si>
  <si>
    <t>T0066</t>
  </si>
  <si>
    <t>Real MCU deployment (GAP8 RISC-V) with measured energy/power (0.28-0.56 mJ acquisition, 31.3 GMAC/s/W processing) and memory (BNN with 32-128 filters). Platform + energy/power + memory reported with physical hardware implementation and measurements. IoT/smart device domain (keyword spotting for always-on voice interfaces).</t>
  </si>
  <si>
    <t>https://ieeexplore.ieee.org/document/9707596</t>
  </si>
  <si>
    <t>S128</t>
  </si>
  <si>
    <t>S129</t>
  </si>
  <si>
    <t>T0067</t>
  </si>
  <si>
    <t>arXiv</t>
  </si>
  <si>
    <t>Real MCU deployment on three STM32 platforms (Cortex-M55/M7/M33) with measured latency (ms), measured energy (mJ), and memory (parameter counts). Platform + at least two of (latency, energy, memory) satisfied with hardware measurements. Comprehensive system-level benchmarking. IoT/embedded domain (keyword spotting for battery-powered devices).</t>
  </si>
  <si>
    <t>S130</t>
  </si>
  <si>
    <t>Good benchmarking paper, demonstrates MCU deployment on STM32 with measured latency (ms), measured energy (mJ), and memory.</t>
  </si>
  <si>
    <t>S131</t>
  </si>
  <si>
    <t>T0068</t>
  </si>
  <si>
    <t>Real MCU deployment on ESP32 with measured latency (5.4 ms), measured power (20.3 mW), and memory (24.2 KB model, 56 KB SRAM). Platform + at least two of (latency, energy, memory) satisfied with hardware measurements. Proximity-gated activation for energy efficiency. IoT/embedded domain (wake-word spotting for battery-powered devices).</t>
  </si>
  <si>
    <t>https://ieeexplore.ieee.org/document/11453401</t>
  </si>
  <si>
    <t>S132</t>
  </si>
  <si>
    <t>S133</t>
  </si>
  <si>
    <t>T0069</t>
  </si>
  <si>
    <t>Platform (STM32L476) + memory reported. Missing measured latency AND energy/power. Paper focuses on fault injection/reliability analysis, not deployment metrics required by PRISMA criteria. Does not meet requirement for at least two of (latency, energy/power, memory) with measured hardware performance metrics.</t>
  </si>
  <si>
    <t>https://ieeexplore.ieee.org/document/10773488</t>
  </si>
  <si>
    <t>S134</t>
  </si>
  <si>
    <t>Performs deployment on STM32L476 but only reports memory no latency or energy metrics found.</t>
  </si>
  <si>
    <t>S135</t>
  </si>
  <si>
    <t>T0070</t>
  </si>
  <si>
    <t>Real MCU deployment on GAP9 RISC-V platform with measured latency (6.7-55 ms per inference, 14 sec total adaptation), measured energy (384-2313 µJ per sample, 806 mJ total), and memory (10-41 kB read-write). Platform + at least two of (latency, energy, memory) satisfied with hardware measurements. IoT/smart device domain (keyword spotting for battery-operated edge devices).</t>
  </si>
  <si>
    <t>https://arxiv.org/pdf/2403.10549</t>
  </si>
  <si>
    <t>S136</t>
  </si>
  <si>
    <t>Performs MCU-class deployment, builds on T0060 with a similar methodology. Reports all the metrics required.</t>
  </si>
  <si>
    <t>S137</t>
  </si>
  <si>
    <t>T0071</t>
  </si>
  <si>
    <t>No</t>
  </si>
  <si>
    <t>This is a survey/review paper, not a primary TinyML deployment paper. Provides overview of SF-KWS techniques and compares TinyML frameworks using existing literature. Does not present original on-device deployment with measured latency, energy/power, or memory from physical hardware. Excluded per PRISMA criteria for review articles.</t>
  </si>
  <si>
    <t>https://ieeexplore.ieee.org/document/10631631</t>
  </si>
  <si>
    <t>S138</t>
  </si>
  <si>
    <t>It is a survey paper that talks about keyword spotting for various tinyml frameworks.</t>
  </si>
  <si>
    <t>S139</t>
  </si>
  <si>
    <t>T0072</t>
  </si>
  <si>
    <t>No physical MCU deployment. Paper performs model exploration (NAS, quantization, binarization) in TensorFlow/Larq on desktop, but does not deploy or measure performance on actual microcontroller hardware. No specific platform named, no measured latency or energy/power. Does not meet PRISMA requirement for demonstrated deployment with measured hardware metrics.</t>
  </si>
  <si>
    <t>https://ieeexplore.ieee.org/document/10849192</t>
  </si>
  <si>
    <t>S140</t>
  </si>
  <si>
    <t>S141</t>
  </si>
  <si>
    <t>T0073</t>
  </si>
  <si>
    <t>EX_PLATFORM</t>
  </si>
  <si>
    <t>Platform is Xilinx Artix-7 FPGA, not MCU-class (Cortex-M/ESP32/RISC-V). If your scope strictly requires MCU deployment, this is excluded. Otherwise, meets all other criteria: real hardware deployment, measured power (1 mW), memory (89 bytes parameters), and latency (27 cycles/sample).</t>
  </si>
  <si>
    <t>https://ieeexplore.ieee.org/document/9869909</t>
  </si>
  <si>
    <t>S142</t>
  </si>
  <si>
    <t>Performs deployment on Xilinx Artix-7, not an MCU class hardware.</t>
  </si>
  <si>
    <t>S143</t>
  </si>
  <si>
    <t>T0074</t>
  </si>
  <si>
    <t>Real MCU deployment on GAP9 (RISC-V) with measured latency (0.61–9.21 ms), measured energy (28.3–246.9 μJ), and memory (parameters + activations). Platform + at least two of (latency, energy, memory) satisfied with hardware measurements. Few-shot on-device customization for KWS. IoT/smart device domain.</t>
  </si>
  <si>
    <t>https://ieeexplore.ieee.org/document/10241972</t>
  </si>
  <si>
    <t>S144</t>
  </si>
  <si>
    <t>Demonstrates on-device MCU deployment on the GAP9 and reports memory, latency and energy.</t>
  </si>
  <si>
    <t>S145</t>
  </si>
  <si>
    <t>T0075</t>
  </si>
  <si>
    <t>No on-device deployment. Paper proposes and evaluates noise adaptation method on desktop hardware (CPU/GPU) only. Authors explicitly state deployment on resource-constrained devices is "future work." No MCU platform specified, no measured latency, energy/power, or memory. Does not meet PRISMA requirement for demonstrated deployment on physical hardware with measured metrics.</t>
  </si>
  <si>
    <t>https://ieeexplore.ieee.org/document/11270573</t>
  </si>
  <si>
    <t>S146</t>
  </si>
  <si>
    <t>S147</t>
  </si>
  <si>
    <t>T0076</t>
  </si>
  <si>
    <t>Real MCU deployment on STM32 Cortex-M4 with measured latency (64 ms response, 2.28 ms frame conversion, 3.10 ms MFCC), measured power (18.51 mW run, 6.22 mW idle), and memory (~30 KB RAM). Platform + at least two of (latency, energy, memory) satisfied with hardware measurements. IoT/edge device domain.</t>
  </si>
  <si>
    <t>https://ieeexplore.ieee.org/document/11270693</t>
  </si>
  <si>
    <t>S148</t>
  </si>
  <si>
    <t>Perfoms deployment on STM32 Cortex-M4 and reports the necessary deployment metrics.</t>
  </si>
  <si>
    <t>S149</t>
  </si>
  <si>
    <t>T0077</t>
  </si>
  <si>
    <t>Real MCU deployment on ESP32 with measured latency (676 ms end-to-end, 168 ms inference) and memory (64.9 KB model, fits within 520 KB RAM/4 MB flash). Platform + latency + memory satisfies metric minimum (two of three: latency, memory). IoT/smart home/emotion monitoring domain.</t>
  </si>
  <si>
    <t>https://ieeexplore.ieee.org/document/11018087</t>
  </si>
  <si>
    <t>S150</t>
  </si>
  <si>
    <t>Perfoms deployment on ESP32 and reports all the three metrics including memory, energy and latency.</t>
  </si>
  <si>
    <t>S151</t>
  </si>
  <si>
    <t>T0078</t>
  </si>
  <si>
    <t>Simulation-only deployment on Arm Virtual Hardware (AVH), not physical MCU hardware. Paper explicitly states latency and power could not be measured in simulation. Does not meet requirement for actual deployment on physical MCU with measured hardware metrics.</t>
  </si>
  <si>
    <t>https://ieeexplore.ieee.org/document/11294282</t>
  </si>
  <si>
    <t>S152</t>
  </si>
  <si>
    <t>No deployment on MXCU-class hardware. Only stimulation.</t>
  </si>
  <si>
    <t>HAR/Privacy (Personal IoT)</t>
  </si>
  <si>
    <t>S201</t>
  </si>
  <si>
    <t>T0014</t>
  </si>
  <si>
    <t>Personal IoT</t>
  </si>
  <si>
    <t>ACM DL</t>
  </si>
  <si>
    <t>("human activity recognition" OR HAR) AND (microcontroller OR "Cortex-M" OR STM32 OR Arduino)
AND ("inference time" OR latency OR energy OR power OR RAM OR Flash OR "model size")
AND (IMU OR accelerometer OR gyroscope OR PIR)
AND (privacy OR "on-device" OR "edge")</t>
  </si>
  <si>
    <t>19/02/2026</t>
  </si>
  <si>
    <t>S3</t>
  </si>
  <si>
    <t>Deployment on MCU-based BandX 2.0 device. Paper reports accuracy, model size (15 kB), and inference time (&lt; 200s); meets criteria for MCU + ≥2 metrics</t>
  </si>
  <si>
    <t>https://dl-acm-org.aus.idm.oclc.org/doi/10.1145/3639856.3639859</t>
  </si>
  <si>
    <t>S202</t>
  </si>
  <si>
    <t>S6</t>
  </si>
  <si>
    <t>Edge-deployed HAR on wearable MCU platform (BandX 2.0). Reports multiple TinyML-relevant metrics including inference time and model size, supporting on-device privacy-preserving processing</t>
  </si>
  <si>
    <t>S203</t>
  </si>
  <si>
    <t>T0015</t>
  </si>
  <si>
    <t>("Human Activity Recognition" AND ("wearable sensors" OR "IoT" OR "Internet of Things") AND ("machine learning" OR "deep learning" OR "sensor technology") AND (healthcare OR "smart environments" OR "daily living" OR "elderly care" OR "patient monitoring") )</t>
  </si>
  <si>
    <t>Activity recognition models deployed on the TI CC1350 SensorTag. Reports accuracy, power consumption (mW) and inference time (ms), as well as other metrics. Meets MCU + ≥2 metrics rule</t>
  </si>
  <si>
    <t>https://ieeexplore-ieee-org.aus.idm.oclc.org/document/9075280</t>
  </si>
  <si>
    <t>S204</t>
  </si>
  <si>
    <t>Constrained-device HAR with hierarchical model; reports efficiency metrics relevant to on-device TinyML deployment.</t>
  </si>
  <si>
    <t>S205</t>
  </si>
  <si>
    <t>T0016</t>
  </si>
  <si>
    <t xml:space="preserve">("human activity recognition")
AND (STM32 OR "Cortex-M" OR microcontroller)
AND ("on-device" OR "model personalization" OR TinyML)
AND (memory OR power OR latency)
</t>
  </si>
  <si>
    <t>20/02/2026</t>
  </si>
  <si>
    <t>Deep learning HAR model deployed on the STM32 MCU. Paper reports F1 score, memory footprint (kB), and time/power consumption. Meets MCU + ≥2 metrics rule</t>
  </si>
  <si>
    <t>https://ieeexplore-ieee-org.aus.idm.oclc.org/document/10178063</t>
  </si>
  <si>
    <t>S206</t>
  </si>
  <si>
    <t>STM32-based HAR with on-device training; reports memory, latency, and energy, enabling privacy-preserving personalization.</t>
  </si>
  <si>
    <t>S207</t>
  </si>
  <si>
    <t>T0017</t>
  </si>
  <si>
    <t>HAR model deployed on the STM32 MCU. Paper reports F1 score, flash memory usage, and inference latency. Meets MCU + ≥2 metrics rule</t>
  </si>
  <si>
    <t>ieeexplore-ieee-org.aus.idm.oclc.org/document/11275822/</t>
  </si>
  <si>
    <t>S208</t>
  </si>
  <si>
    <t>TinyML-based HAR framework implemented on STM32 MCU, reporting inference latency, memory footprint, and model size, demonstrating feasibility of real-time on-device activity recognition.”</t>
  </si>
  <si>
    <t>S209</t>
  </si>
  <si>
    <t>T0018</t>
  </si>
  <si>
    <t>HAR model deployed on the STM32 MCU; paper explores parameter optimization. Reports accuracy, power consumption, and inference time. Meets MCU + ≥2 metrics rule</t>
  </si>
  <si>
    <t>https://ieeexplore-ieee-org.aus.idm.oclc.org/document/10330937</t>
  </si>
  <si>
    <t>S210</t>
  </si>
  <si>
    <t>TinyML-based HAR on wearable MCU (BI-Vital sensor) with hardware-in-the-loop optimization; reports inference time, memory usage, and power consumption, supporting real-world on-device deployment.</t>
  </si>
  <si>
    <t>S211</t>
  </si>
  <si>
    <t>T0019</t>
  </si>
  <si>
    <t>HAR model deployed on the STM32 MCU. Reports accuracy, precision, recall, and F1 score. Paper also addresses computational/memory requirements + inference time. Meets MCU + ≥2 metrics rule</t>
  </si>
  <si>
    <t>https://ieeexplore-ieee-org.aus.idm.oclc.org/document/11007628</t>
  </si>
  <si>
    <t>S212</t>
  </si>
  <si>
    <t>On-device TinyML HAR with adaptive learning; reports efficiency metrics and supports privacy-preserving deployment.</t>
  </si>
  <si>
    <t>S213</t>
  </si>
  <si>
    <t>T0020</t>
  </si>
  <si>
    <t>HAR system utilising an ST-GCN deployed on a NUCLEOU5A5ZJ-Q development board with an STM32U5 MCU. Paper reports FLOPs, accuracy, inference time, and memory consumption. Meets MCU + ≥2 metrics rule</t>
  </si>
  <si>
    <t>https://ieeexplore-ieee-org.aus.idm.oclc.org/document/11261518</t>
  </si>
  <si>
    <t>S214</t>
  </si>
  <si>
    <t>Compressed GNN for on-device HAR with reported accuracy and model size improvements.</t>
  </si>
  <si>
    <t>S215</t>
  </si>
  <si>
    <t>T0092</t>
  </si>
  <si>
    <t>MDPI</t>
  </si>
  <si>
    <t>("human activity recognition" AND TinyML AND smart glasses)</t>
  </si>
  <si>
    <t>Relevant humany activity dataset with deployment on MCU within personal IoT device (smart glasses) ; very well-detailed and reports extensive metrics</t>
  </si>
  <si>
    <t>https://pdfs.semanticscholar.org/3420/fe50ef93411002060e413f86d5a6761bd521.pdf</t>
  </si>
  <si>
    <t>S216</t>
  </si>
  <si>
    <t>System-level evaluation of on-device and cloud-offloaded TinyML inference on IoT hardware, reporting energy, latency, and accuracy trade-offs.</t>
  </si>
  <si>
    <t>S217</t>
  </si>
  <si>
    <t>T0093</t>
  </si>
  <si>
    <t>Nature</t>
  </si>
  <si>
    <t>("human activity recognition" AND TinyML AND Arduino AND IMU)</t>
  </si>
  <si>
    <t>3 HAR models deployed on the Arduino Nano 33 BLE Sense Rev2; paper reports all key metrics including accuracy, F1 score, latency, model size, and flash/RAM usage</t>
  </si>
  <si>
    <t>https://www.nature.com/articles/s41598-025-98571-2.pdf</t>
  </si>
  <si>
    <t>S218</t>
  </si>
  <si>
    <t>TinyML-based HAR deployed on Arduino Nano 33 BLE Sense Rev2 with reported model size, RAM, flash, and inference time, demonstrating practical MCU deployment.</t>
  </si>
  <si>
    <t>S219</t>
  </si>
  <si>
    <t>T0094</t>
  </si>
  <si>
    <t>(TinyML AND HAR AND "energy latency tradeoff" AND edge)</t>
  </si>
  <si>
    <t>Focuses on energy–accuracy–latency trade‑offs for HAR on the Arduino Nano RP2040 Connect using both on-device and offloaded inference. Reports metrics like accuracy, latency, and energy consumption</t>
  </si>
  <si>
    <t>https://www.researchgate.net/publication/397634098_Quantifying_Energy-Accuracy-Latency_Trade-offs_in_Cloud-Offloaded_and_On-Device_TinyML_Inference_on_IoT_Devices</t>
  </si>
  <si>
    <t>S220</t>
  </si>
  <si>
    <t>Evaluates energy–accuracy–latency trade-offs for on-device vs cloud-offloaded TinyML inference on IoT hardware, with full system-level benchmarking.</t>
  </si>
  <si>
    <t>S221</t>
  </si>
  <si>
    <t>T0095</t>
  </si>
  <si>
    <t>(TinyML AND "transfer learning" AND HAR AND MCU)</t>
  </si>
  <si>
    <t>Paper exploring efficient TinyML deployment on MCUs using an CNN-LSTM-TL model + visualization techniques. Tested on two datasets on the ESP32S3 MCU; reports multiple performance and inference metrics</t>
  </si>
  <si>
    <t>https://www.researchgate.net/publication/378756406_TinyML_Empowered_Transfer_Learning_on_the_Edge#:~:text=View%20full-text</t>
  </si>
  <si>
    <t>S222</t>
  </si>
  <si>
    <t>TinyML transfer learning workflow with deployment to ESP32S3 MCU; reports edge inference metrics including flash usage, inference rate, and arena size</t>
  </si>
  <si>
    <t>S223</t>
  </si>
  <si>
    <t>T0096</t>
  </si>
  <si>
    <t>(TinyML AND HAR AND quantization AND pruning AND edge devices)</t>
  </si>
  <si>
    <t xml:space="preserve">Include </t>
  </si>
  <si>
    <t xml:space="preserve">Explores compression techniques for more efficient deployment of HAR models on resource-constrained edge devices..Deploys on both tiny devices (Arduino) and larger edge devices (Raspberry Pi). Focuses on the energy-accuracy trade-off, and reports accuracy, model size, and energy consumption. </t>
  </si>
  <si>
    <t>https://ieeexplore-ieee-org.aus.idm.oclc.org/document/10761203</t>
  </si>
  <si>
    <t>S224</t>
  </si>
  <si>
    <t>Deploys optimized HAR models on SensorTile.box PRO, Raspberry Pi, and Arduino, with reported hardware-level energy, accuracy, and model size comparisons.</t>
  </si>
  <si>
    <t>S225</t>
  </si>
  <si>
    <t>T0097</t>
  </si>
  <si>
    <t>("human activity recognition" AND microcontroller AND CNN)</t>
  </si>
  <si>
    <t xml:space="preserve">Good paper focused on the feasibility of deploying ML and DL models in resource-constrained environments. Deploys RF + CNN on multiple microcontrollers and analyses the trade-off between accuracy and inference time/power consumption. Reports MCU specifications and other performance metrics. </t>
  </si>
  <si>
    <t>https://www.researchgate.net/publication/355787942_Are_Microcontrollers_Ready_for_Deep_Learning-Based_Human_Activity_Recognition</t>
  </si>
  <si>
    <t>S226</t>
  </si>
  <si>
    <t>Compares RF and CNN HAR models deployed on multiple microcontrollers, with reported inference time and flash usage, providing direct MCU benchmarking evidence.</t>
  </si>
  <si>
    <t>S231</t>
  </si>
  <si>
    <t>T0100</t>
  </si>
  <si>
    <t>Healthcare IoT</t>
  </si>
  <si>
    <t>(TinyML AND activity recognition AND wearable sensor)</t>
  </si>
  <si>
    <r>
      <rPr>
        <rFont val="Arial"/>
        <color theme="1"/>
      </rPr>
      <t xml:space="preserve">HAR model for incontinence-causing movement detection deployed on the nRF52840  kit. Reports sampling frequency, window size, and accuracy, but does not report model size (inferred to be small since it was deployed on an MCU) or other metrics. </t>
    </r>
    <r>
      <rPr>
        <rFont val="Arial"/>
        <b/>
        <color theme="1"/>
      </rPr>
      <t>Could be included, but the limitations should be mentioned. Include only if needed</t>
    </r>
  </si>
  <si>
    <t>https://ieeexplore-ieee-org.aus.idm.oclc.org/document/9579991</t>
  </si>
  <si>
    <t>S232</t>
  </si>
  <si>
    <t>Real-time nRF52 deployment is demonstrated, but required TinyML metrics such as latency, energy, or memory footprint are not reported.</t>
  </si>
  <si>
    <t>S233</t>
  </si>
  <si>
    <t>T0111</t>
  </si>
  <si>
    <t>General TinyML</t>
  </si>
  <si>
    <t>TinyML AND review</t>
  </si>
  <si>
    <t>This is a survey about TinyML in general.</t>
  </si>
  <si>
    <t>https://dl-acm-org.aus.idm.oclc.org/doi/10.1145/3661820</t>
  </si>
  <si>
    <t>S234</t>
  </si>
  <si>
    <t>This general survey is useful for discussion</t>
  </si>
  <si>
    <t>S235</t>
  </si>
  <si>
    <t>T0112</t>
  </si>
  <si>
    <t>https://arxiv.org/abs/2403.19076</t>
  </si>
  <si>
    <t>S236</t>
  </si>
  <si>
    <t>T0101</t>
  </si>
  <si>
    <t>(HAR AND wearable)</t>
  </si>
  <si>
    <t>MAYBE</t>
  </si>
  <si>
    <t>Good paper, but lacks MCU deployment. The device used is not TinyML, but the claims/discussions are relevant to the topic. Include only for discussion and not as a TinyML deployment example</t>
  </si>
  <si>
    <t>https://dl-acm-org.aus.idm.oclc.org/doi/full/10.1145/3609425</t>
  </si>
  <si>
    <t>IN_WITH_CONDITION</t>
  </si>
  <si>
    <t>Wearable HAR system evaluated with runtime (~1.5 ms) and energy (~606 μJ) on Odroid-XU3; included for benchmarking relevance despite non-MCU platform.</t>
  </si>
  <si>
    <t>T0102</t>
  </si>
  <si>
    <t>(TinyML AND HAR AND "transfer learning" AND edge device)</t>
  </si>
  <si>
    <t xml:space="preserve">A privacy-aware architecture for HAR wearables. Reports multiple metrics like F1 score, battery life, latency and memory requirements. Reports specifications of all tiny hardware components used for deployment. </t>
  </si>
  <si>
    <t>https://dl-acm-org.aus.idm.oclc.org/doi/10.1145/3678591</t>
  </si>
  <si>
    <t>Privacy-aware wearable activity monitoring platform deployed on ESP32-CAM with on-device gesture detection and obfuscation; reports model size, inference time, power, and energy savings.</t>
  </si>
  <si>
    <t>S237</t>
  </si>
  <si>
    <t>T0103</t>
  </si>
  <si>
    <t xml:space="preserve">Privacy autoencoder for use on HAR wearables deployed on ESP32-WROOM-32.  Reports accuracy and F1 for user and activity, as well as model size, latency, and RAM/flash usage. </t>
  </si>
  <si>
    <t>https://dl-acm-org.aus.idm.oclc.org/doi/10.1145/3793553</t>
  </si>
  <si>
    <t>S238</t>
  </si>
  <si>
    <t>Privacy-preserving HAR framework deployed on ESP32-WROOM-32, reporting latency, memory, power, and communication reduction while suppressing user re-identification on-device.</t>
  </si>
  <si>
    <t>S239</t>
  </si>
  <si>
    <t>T0118</t>
  </si>
  <si>
    <t>"tiny" AND "microcontroller" AND "arrhythmia"</t>
  </si>
  <si>
    <t xml:space="preserve">ECG signal analysis transformer model deployed on a GAP9 device. Reports metrics including accuracy, energy consumption, and latency. </t>
  </si>
  <si>
    <t>https://ieeexplore-ieee-org.aus.idm.oclc.org/document/10531812</t>
  </si>
  <si>
    <t>S240</t>
  </si>
  <si>
    <t>Wearable TinyML arrhythmia-classification system for continuous personal ECG monitoring, using a 6k-parameter tiny transformer deployed on a low-power GAP9 microcontroller; reports accuracy (98.97% with 8-bit inference), inference time (4.28 ms), energy per inference (0.09 mJ), and memory footprint (~49 kB), with explicit robustness evaluation under motion-artifact noise.</t>
  </si>
  <si>
    <t>S241</t>
  </si>
  <si>
    <t>T0119</t>
  </si>
  <si>
    <t>"HAR" AND "microcontrollers" AND "CNN"</t>
  </si>
  <si>
    <t xml:space="preserve">Hierarchical architecture for HAR with DT + CNN deployed on the RISC-V MCU Quentin; reports accuracy, latency, and energy and memory consumption </t>
  </si>
  <si>
    <t>https://ieeexplore-ieee-org.aus.idm.oclc.org/document/9816745</t>
  </si>
  <si>
    <t>S242</t>
  </si>
  <si>
    <t>Personal-IoT / wearable HAR system for microcontrollers, using a two-stage decision-tree plus 1D-CNN architecture on IMU data; reports classification accuracy, inference energy, latency, and memory footprint on a single-core RISC-V MCU, with substantial energy savings over a stand-alone CNN.</t>
  </si>
  <si>
    <t>S243</t>
  </si>
  <si>
    <t>T0120</t>
  </si>
  <si>
    <t>"HAR" AND "microcontrollers" AND "Neural Networks"</t>
  </si>
  <si>
    <t xml:space="preserve">The paper experiments on 4 different HAR datasets using CNNs deployed on the RISC-V MCU. Reports performance, latency, energy consumption, and memory usage. Impressive reduction in memory. </t>
  </si>
  <si>
    <t>https://dl-acm-org.aus.idm.oclc.org/doi/10.1145/3542819</t>
  </si>
  <si>
    <t>S244</t>
  </si>
  <si>
    <t>Personal-IoT / wearable HAR study on microcontrollers using quantized and adaptive 1D CNNs for IMU-based activity recognition; reports classification performance across multiple HAR datasets together with MCU deployment metrics including memory footprint, inference latency, and energy consumption on an ultra-low-power RISC-V MCU.</t>
  </si>
  <si>
    <t>Smart City/Infrastructure</t>
  </si>
  <si>
    <t>S301</t>
  </si>
  <si>
    <t>T0009</t>
  </si>
  <si>
    <t>Smart Cities</t>
  </si>
  <si>
    <t>ScienceDirect</t>
  </si>
  <si>
    <t>("TinyML" OR "Arduino" OR "microcontroller" OR "edge") AND ("urban" OR "smart city" OR "infrastructure" OR "roads")</t>
  </si>
  <si>
    <t>S2</t>
  </si>
  <si>
    <t>SmartCity TinyML deployment using TensorFlow Lite on MCU; reports ~4 ms inference time, measured power (0.27–0.33 W), and memory footprint (800 KB flash, 102 KB RAM). Included – meets MCU + ≥2 metrics rule.</t>
  </si>
  <si>
    <t>An unsupervised TinyML approach applied to the detection of urban noise anomalies under the smart cities environment - ScienceDirect</t>
  </si>
  <si>
    <t>S302</t>
  </si>
  <si>
    <t>Real deployment on ESP32-S3-DevKitC-1 MCU. Reports measured inference time (4 ms), power consumption (0.2693 W ±0.039 and 0.3268 W ±0.015), flash occupancy (800.63 KB), RAM occupancy (102.62 KB / 112.71 KB), and heap memory usage (528 / 744 bytes). Full traceability with confusion matrices, RMSE comparison (original vs. TFLite), and detailed methodology. Smart city / urban noise monitoring domain.</t>
  </si>
  <si>
    <t>S303</t>
  </si>
  <si>
    <t>T0125</t>
  </si>
  <si>
    <t>TinyML air quality node on RP2040 (Cortex-M0+); reports model size (~10–24 KB) but no inference latency or energy measurements. SmartCity environmental sensing context.</t>
  </si>
  <si>
    <t>TinyML Models for a Low-Cost Air Quality Monitoring Device | IEEE Journals &amp; Magazine</t>
  </si>
  <si>
    <t>S304</t>
  </si>
  <si>
    <t>Real deployment on Raspberry Pi Pico W (RP2040 chip, dual-core Cortex-M0+). Reports model sizes (TF: 85.4/102.6 kB; quantized: 10.6/13.6 kB reduction), RMSE values, and R² scores (&gt;0.70). Focuses on model size and accuracy only. Lacks hardware performance metrics required by PRISMA criteria.</t>
  </si>
  <si>
    <t>S305</t>
  </si>
  <si>
    <t>T0010</t>
  </si>
  <si>
    <t>SmartCity structural health monitoring of water infrastructure using TinyML CNN on Arduino Nano 33 BLE Sense (nRF52840). Reports latency (296 ms), energy (5610 µJ), and memory (96 KB RAM, 0.35 MB flash). Vision-based (Camera).</t>
  </si>
  <si>
    <t>Tiny-Machine-Learning-Based Supply Canal Surface Condition Monitoring</t>
  </si>
  <si>
    <t>S306</t>
  </si>
  <si>
    <t>Real deployment on Arduino Nano 33 BLE Sense (ARM Cortex-M4F). Reports model size (7.57 KB), flash usage (354.48 KB), RAM usage (96 KB), inference time (296.94 ms), and energy per inference (5610.18 μJ). Full traceability with confusion matrices (pre/post deployment), resource tables, and power calculations from datasheet. Structural health monitoring / water infrastructure domain (IoT/smart infrastructure).</t>
  </si>
  <si>
    <t>S307</t>
  </si>
  <si>
    <t>T0011</t>
  </si>
  <si>
    <t>SmartCity environmental monitoring system for urban air quality (PM2.5/PM10, CO). MCU-based (ESP32-S3) TinyML deployment with reported model size (~254KB) and memory footprint. WiFi/cellular connectivity; includes on-device sensor fault detection.</t>
  </si>
  <si>
    <t>PolluSenseCheck: Cost Effective TinyML-based Air Quality Monitoring System with In-Built Sensor Fault Detection</t>
  </si>
  <si>
    <t>S308</t>
  </si>
  <si>
    <t>Mentions TinyML and deployment on device, but no specific MCU platform named in the abstract. No reported measured latency, power/energy, or memory usage from actual hardware deployment. Reports accuracy (0.69–0.89 for dust, 0.76–0.95 for CO) and use of TensorFlow Lite Micro, but lacks hardware performance metrics.</t>
  </si>
  <si>
    <t>S309</t>
  </si>
  <si>
    <t>T0012</t>
  </si>
  <si>
    <t>SmartCity infrastructure monitoring (pothole detection) using camera-based TinyML (YOLO/FOMO). Evaluated on MCU-class devices (Portenta H7, BLE Sense 33) with reported inference time, RAM/Flash usage, and energy/CO₂ analysis.</t>
  </si>
  <si>
    <t>TinyML-Based Pothole Detection: A Comparative Analysis of YOLO and FOMO Model Performance | IEEE Conference Publication</t>
  </si>
  <si>
    <t>S310</t>
  </si>
  <si>
    <t>EX_PLATFORM/EX_NO_DEPLOY</t>
  </si>
  <si>
    <t>Evaluates YOLOv5, YOLOv8, and FOMO models for pothole detection using TinyML. Reports tracking carbon footprint during training and discusses energy usage as models are reduced in complexity. However, no specific MCU platform named in abstract, no measured inference latency, no measured power/energy from deployed hardware, and no memory usage reported. Abstract indicates FOMO is "quickest and most energy-efficient" but no quantitative hardware metrics provided.</t>
  </si>
  <si>
    <t>S311</t>
  </si>
  <si>
    <t>T0013</t>
  </si>
  <si>
    <t>SmartCity environmental monitoring (wildfire detection at WUI) using camera-based TinyML on Arduino Nano 33 BLE Sense (nRF52840). Reports inference time (992 ms), RAM (169 KB), and Flash (236 KB). Fully on-device deployment with enclosure prototype.</t>
  </si>
  <si>
    <t>https://ieeexplore.ieee.org/document/11205590</t>
  </si>
  <si>
    <t>S312</t>
  </si>
  <si>
    <t>Real deployment on Arduino Nano 33 BLE Sense (resource-constrained hardware). Reports inference time (992 ms for MobileNetV2) , global accuracy (91.4%) , AUC-ROC (0.93) , and addresses memory constraints of the platform. However, no measured power/energy consumption reported, and no specific memory usage numbers (RAM/flash) provided in the abstract. Custom enclosure designed for real-world deployment mentioned.</t>
  </si>
  <si>
    <t>S313</t>
  </si>
  <si>
    <t>T0061</t>
  </si>
  <si>
    <t>Smart Cities IoT + TinyML system for urban mosquito surveillance and risk mapping. The system includes embedded deployment (MCU-based TinyML), IoT connectivity (WiFi/LoRaWAN), and a full digital ecosystem (edge device + platform + mobile app), with real-world validation. The paper reports performance metrics such as ≈97.67% egg detection accuracy, system stability over 672 hours, and low communication latency (&lt;1 s). However, it has several limitations: lacks standard ML evaluation metrics (precision, recall, F1-score, ROC/AUPR), no benchmarking against other models or baselines, uses a small and non-public dataset (limited generalizability), and does not report TinyML-relevant efficiency metrics such as inference latency, memory footprint, or energy consumption. Evaluation is mostly in controlled/lab settings with limited large-scale real-world deployment evidence.</t>
  </si>
  <si>
    <t>MosquIoT: A System Based on IoT and Machine Learning for the Monitoring of Aedes aegypti (Diptera: Culicidae) | IEEE Journals &amp; Magazine</t>
  </si>
  <si>
    <t>S314</t>
  </si>
  <si>
    <t>Platform (ARM Cortex-M7 + ESP32) and memory architecture reported, but missing measured inference latency (ms), power/energy consumption, and specific model RAM/Flash footprint. Reports 10 sec end-to-end response time (includes camera capture + multiple snapshots + communication), not isolated TinyML inference time. Does not meet requirement for at least two of (latency, energy/power, memory) with measured metrics from deployed model.</t>
  </si>
  <si>
    <t>S315</t>
  </si>
  <si>
    <t>T0089</t>
  </si>
  <si>
    <t>("TinyML") AND ("traffic")</t>
  </si>
  <si>
    <r>
      <rPr>
        <rFont val="Arial"/>
        <color theme="1"/>
      </rPr>
      <t xml:space="preserve">TinyML-based driver distraction detection system deployed on MCU (Arduino Portenta H7) with strong metrics (latency ≈72 ms, memory ≈164 KB RAM, 52.7 KB Flash, F1 ≈0.99). Relevant to Smart Cities via smart transportation and road safety.
</t>
    </r>
    <r>
      <rPr>
        <rFont val="Arial"/>
        <b/>
        <color theme="1"/>
      </rPr>
      <t>Limitations</t>
    </r>
    <r>
      <rPr>
        <rFont val="Arial"/>
        <color theme="1"/>
      </rPr>
      <t>: mainly dataset-based evaluation with limited real-world validation, single-device system (no IoT/city-scale integration), no energy metrics, and limited analysis of real-world conditions (lighting, occlusion, multiple drivers).</t>
    </r>
  </si>
  <si>
    <t>TinyML for Safe Driving: The Use of Embedded Machine Learning for Detecting Driver Distraction | IEEE Conference Publication</t>
  </si>
  <si>
    <t>S316</t>
  </si>
  <si>
    <t>Real MCU deployment on Arduino Portenta H7 (STM32H747XI) with measured latency (72 ms) and memory (164 KB RAM, 52.7 KB Flash). Platform + latency + memory satisfies metric minimum (two of three: latency and memory). High accuracy (99.3%). IoT/automotive domain for driver distraction detection. Energy/power not reported but not required as two metrics are present.</t>
  </si>
  <si>
    <t>S317</t>
  </si>
  <si>
    <t>T0090</t>
  </si>
  <si>
    <t>("TinyML") AND ("road")</t>
  </si>
  <si>
    <r>
      <rPr>
        <rFont val="Arial"/>
        <color theme="1"/>
      </rPr>
      <t xml:space="preserve">TinyML pothole detection system deployed on MCU (OpenMV Cam H7) with real-world testing. Reports latency (~69–76 ms), memory (~239 KB RAM, ~78 KB Flash), and F1 score (~81–82%) . Relevant to Smart Cities (road safety/monitoring).
</t>
    </r>
    <r>
      <rPr>
        <rFont val="Arial"/>
        <b/>
        <color theme="1"/>
      </rPr>
      <t>Limitations</t>
    </r>
    <r>
      <rPr>
        <rFont val="Arial"/>
        <color theme="1"/>
      </rPr>
      <t>: small dataset (~132 images), unstable test accuracy (~64%), works best only at low speeds (&lt;30 km/h), no energy metrics, and no large-scale or IoT integration.</t>
    </r>
  </si>
  <si>
    <t>Real-Time Path Hole Detection for Motorcycle Driver Safety Assistance Using Faster Object More Object (FOMO) Algorithm | IEEE Conference Publication | IEEE Xplore</t>
  </si>
  <si>
    <t>S318</t>
  </si>
  <si>
    <t>Real MCU deployment on OpenMV Cam H7 Plus (STM32H743II ARM Cortex-M7) with measured latency (76 ms) and memory (239.5 KB RAM, 78.5 KB Flash). Platform + latency + memory satisfies metric minimum (two of three: latency and memory). Real-world validation on moving motorcycle. F1 score 81-82%. IoT/automotive domain for driver safety.</t>
  </si>
  <si>
    <t>S319</t>
  </si>
  <si>
    <t>T0091</t>
  </si>
  <si>
    <r>
      <rPr>
        <rFont val="Arial"/>
        <color theme="1"/>
      </rPr>
      <t xml:space="preserve">Smart Cities firearm detection paper with on-device TinyML inference on MCU-class RISC-V hardware (Sipeed Maixduino/K210). Reports required metrics, including platform, inference speed (9.3 FPS on K210), and model size after INT8 quantization (1.859 KB), with ML performance of Precision 0.98, Recall 0.94, and F1-score 0.96 . Raspberry Pi is used only as a comparison platform and is not the basis for exclusion.
</t>
    </r>
    <r>
      <rPr>
        <rFont val="Arial"/>
        <b/>
        <color theme="1"/>
      </rPr>
      <t>Limitations</t>
    </r>
    <r>
      <rPr>
        <rFont val="Arial"/>
        <color theme="1"/>
      </rPr>
      <t>: no energy or power measurements are reported, there is some overfitting noted in training, and evaluation appears limited to the reported dataset/settings without broader real-world deployment analysis.</t>
    </r>
  </si>
  <si>
    <t>https://ieeexplore.ieee.org/document/11340545</t>
  </si>
  <si>
    <t>S320</t>
  </si>
  <si>
    <t>Includes MCU-class RISC-V (K210) with on-device TinyML inference and integrated neural accelerator; non-MCU platform (Raspberry Pi) used only for comparison → not grounds for exclusion. Real MCU deployment on Sipeed Maixduino (K210 RISC-V MCU with KPU neural accelerator) with measured latency (9.3 FPS / ~107.5 ms per frame) and memory (1.86 MB INT8 quantized model). Platform + latency + memory satisfies metric minimum (two of three: latency and memory). High accuracy (F1=0.96, Precision=0.98, Recall=0.94). Smart city/surveillance domain. Raspberry Pi 4 used only for comparative Edge AI analysis, not as primary TinyML platform → does not affect inclusion.</t>
  </si>
  <si>
    <t>S321</t>
  </si>
  <si>
    <t>T0104</t>
  </si>
  <si>
    <r>
      <rPr>
        <rFont val="Arial"/>
        <color theme="1"/>
      </rPr>
      <t xml:space="preserve">Smart Cities application (solid waste management) with clear infrastructure relevance. Deployed on MCU-class hardware (ARM Cortex-M0+) with 64 KB Flash and real-world testbed validation . Reports multiple required metrics including power consumption (~131 µW), harvested energy (~10.44 mW), and memory/platform details, satisfying metric criteria. Includes TinyML inference and edge deployment.
</t>
    </r>
    <r>
      <rPr>
        <rFont val="Arial"/>
        <b/>
        <color theme="1"/>
      </rPr>
      <t>Limitations</t>
    </r>
    <r>
      <rPr>
        <rFont val="Arial"/>
        <color theme="1"/>
      </rPr>
      <t>: TinyML model is deployed on edge gateway (STM32H7) rather than strictly on the lowest-end MCU node; system relies on LoRaWAN + cloud backend (not fully standalone edge); limited large-scale city-wide deployment (tested on small number of bins).</t>
    </r>
  </si>
  <si>
    <t>Sus-Bin: Sustainable Battery-Free Smart Garbage Bin for Solid Waste Management in Smart City | IEEE Journals &amp; Magazine | IEEE Xplore</t>
  </si>
  <si>
    <t>S322</t>
  </si>
  <si>
    <t>Real MCU deployment (STM32 Cortex-M0+ and STM32H7) with measured latency (3.85 ms inference), measured power (131 µW average consumption, 10.44 mW harvested), and memory (732 KB peak). Platform + at least two of (latency, energy/power, memory) satisfied with multiple measured metrics. Battery-free energy harvesting aligns with SDG 7. Smart city/solid waste management domain. Comprehensive real-world validation across 10 sites with LoRaWAN communication.</t>
  </si>
  <si>
    <t>S323</t>
  </si>
  <si>
    <t>T0105</t>
  </si>
  <si>
    <r>
      <rPr>
        <rFont val="Arial"/>
        <color theme="1"/>
      </rPr>
      <t xml:space="preserve">Clear TinyML Smart Cities application (traffic monitoring) with on-device inference using MCU-class hardware (ARM Cortex-M4, 256 KB RAM, 1 MB Flash) . Implements a GRU-based neural network deployed via TensorFlow Lite Micro and performs real-world sensing using magnetometer data. Reports multiple key metrics including accuracy (≈96% vehicle type, 89% speed classification), computation time, energy modeling, and battery lifetime (~1.5–2.8 years depending on traffic conditions) . Includes hardware specs, power modeling equations, and deployment considerations, satisfying TinyML + systems requirements.
</t>
    </r>
    <r>
      <rPr>
        <rFont val="Arial"/>
        <b/>
        <color theme="1"/>
      </rPr>
      <t>Limitations</t>
    </r>
    <r>
      <rPr>
        <rFont val="Arial"/>
        <color theme="1"/>
      </rPr>
      <t>: dataset is relatively small (~500 samples, augmented to 10,000) with authors explicitly noting potential overfitting concerns ; evaluation is based on controlled data collection rather than large-scale real-world deployment; relies on LoRaWAN communication and periodic aggregation (not fully standalone edge system); energy results are partly modeled rather than fully empirically validated at scale.</t>
    </r>
  </si>
  <si>
    <t>https://ieeexplore.ieee.org/document/9556173</t>
  </si>
  <si>
    <t>S324</t>
  </si>
  <si>
    <t>Real MCU deployment on ARM Cortex-M4F with measured latency (96-191 ms inference), measured power (21.26 mA active, 35.8 μA sleep), and memory (256 kB RAM). Platform + at least two of (latency, energy/power, memory) satisfied with multiple measured metrics. Smart city/traffic monitoring domain. Real-world validation with 8 vehicles on test track. Battery life estimated at 1.5-2.8 years.</t>
  </si>
  <si>
    <t>S325</t>
  </si>
  <si>
    <t>T0106</t>
  </si>
  <si>
    <r>
      <rPr>
        <rFont val="Arial"/>
        <color theme="1"/>
      </rPr>
      <t xml:space="preserve">TinyML deployed on MCU-class hardware (Arduino Uno – 8-bit, ESP32 – 32-bit) with on-device inference using ANN models for early fire detection in smart environments, aligning with Smart Cities (smart buildings/infrastructure safety) . Includes real prototype deployment with gas sensors and anomaly detection, and reports multiple required metrics including accuracy (~66.9%), F1-score (~84.3%), energy consumption (~682–694 mW), execution time, and memory usage. Demonstrates practical TinyML feasibility on highly constrained devices.
</t>
    </r>
    <r>
      <rPr>
        <rFont val="Arial"/>
        <b/>
        <color theme="1"/>
      </rPr>
      <t>Limitations</t>
    </r>
    <r>
      <rPr>
        <rFont val="Arial"/>
        <color theme="1"/>
      </rPr>
      <t>: Smart Cities relevance is indirect (indoor smart environment rather than city-scale deployment); evaluation is small-scale lab-based (1500 datapoints, controlled environment) rather than real-world deployment; accuracy is relatively modest (~66.9%) with noted false positives; lacks large-scale validation or integration into broader city infrastructure.</t>
    </r>
  </si>
  <si>
    <t>https://ieeexplore.ieee.org/document/11091675</t>
  </si>
  <si>
    <t>S326</t>
  </si>
  <si>
    <t>Real MCU deployment on both 8-bit (Arduino Uno ATmega328P) and 32-bit (ESP32) platforms with measured latency (Arduino +5.7 ms, ESP32 +0.25 ms), measured power (~682-695 mW), and memory (Flash/RAM usage). Platform + at least two of (latency, energy/power, memory) satisfied with multiple measured metrics. Smart building/fire detection domain. Direct comparison of 8-bit vs. 32-bit TinyML feasibility.</t>
  </si>
  <si>
    <t>S327</t>
  </si>
  <si>
    <t>T0107</t>
  </si>
  <si>
    <r>
      <rPr>
        <rFont val="Arial"/>
        <color theme="1"/>
      </rPr>
      <t xml:space="preserve">Smart Cities application (urban crowd counting) with deployment on MCU-class hardware (ESP32-S3) and on-device TinyML inference. Reports latency and memory (RAM), satisfying minimum metric requirements.  
</t>
    </r>
    <r>
      <rPr>
        <rFont val="Arial"/>
        <b/>
        <color theme="1"/>
      </rPr>
      <t>Limitations</t>
    </r>
    <r>
      <rPr>
        <rFont val="Arial"/>
        <color theme="1"/>
      </rPr>
      <t xml:space="preserve">: lacks energy/power measurements; evaluation is limited in scale (no large-scale city deployment); system focuses on a single sensing modality without broader infrastructure integration.  </t>
    </r>
  </si>
  <si>
    <t>MiCrowd: Vision-Based Deep Crowd Counting on MCU</t>
  </si>
  <si>
    <t>S328</t>
  </si>
  <si>
    <t>Real MCU deployment on ESP32-S3 with measured latency (5.7–12.6 s per patch inference) and memory (106.5 kB model size, 125-135.5 kB peak RAM). Platform + latency + memory satisfies metric minimum (two of three: latency and memory). Smart city/crowd counting domain. Novel application of TinyML for vision-based crowd counting on resource-constrained MCU. Power consumption not reported but not required as two metrics are present.</t>
  </si>
  <si>
    <t>S329</t>
  </si>
  <si>
    <t>T0108</t>
  </si>
  <si>
    <t>Strong Smart Cities relevance: focuses on urban noise monitoring and anomaly detection in city-scale IoT sensor networks, directly applicable to environmental monitoring in smart city infrastructure 
Meets TinyML + MCU deployment criteria: model (LSTM autoencoder) is quantized, converted to TensorFlow Lite, and deployed on an ESP32-S3 microcontroller 
All required metrics are clearly reported:  
- Latency: ~4 ms inference time on MCU 
- Memory: ~800 KB flash, ~102–112 KB RAM, and heap usage (528–744 bytes) :
- Energy/Power: 0.2693–0.3268 W during inference 
Also includes full evaluation metrics (precision, recall, F1, accuracy) and real deployment validation on hardware, not just simulation.  
Overall, this is a strong, fully compliant TinyML-for-Smart-Cities paper with complete system-level reporting and real MCU deployment.</t>
  </si>
  <si>
    <t>https://www.sciencedirect.com/science/article/pii/S2542660523001713</t>
  </si>
  <si>
    <t>S330</t>
  </si>
  <si>
    <t xml:space="preserve"> Real MCU deployment on ESP32-S3 with measured latency (4 ms), measured power (~0.27-0.33 W), and memory (800.63 KB flash, ~102-113 KB RAM). Platform + at least two of (latency, energy/power, memory) satisfied with multiple measured metrics. Smart city/urban noise monitoring domain. Excellent accuracy (99.99%). Full integer quantization deployed via TensorFlow Lite.</t>
  </si>
  <si>
    <t>S331</t>
  </si>
  <si>
    <t>T0109</t>
  </si>
  <si>
    <t>Research Gate</t>
  </si>
  <si>
    <t>Strong Smart Cities relevance: large-scale **urban noise monitoring system (SONYC)** deployed across NYC for environmental monitoring and city infrastructure applications :
Meets TinyML + MCU deployment criteria: inference is performed on **custom low-power mote using ARM Cortex-M7 + Cortex-M3**, with on-device CNN (SONYC-L3) running in real-time 
Clearly reports required system-level metrics:  
- Power: ~107 mW total system consumption during operation :
- Memory: ~120 KB activation memory (runtime), ~1.17 MB model footprint :
- Latency: ~800 ms per 1-second audio inference (real-time capable) 
Includes **real-world deployment at city scale (NYC, multi-node WSN, long-term validation over months)**, which strongly satisfies deployment requirements.  
Overall, this is a **high-quality TinyML Smart Cities paper** with full hardware deployment, comprehensive metrics, and large-scale real-world validation.</t>
  </si>
  <si>
    <t>https://www.researchgate.net/publication/361525485_Infrastructure-free_Deep_Learned_Urban_Noise_Monitoring_at_100mW</t>
  </si>
  <si>
    <t>S332</t>
  </si>
  <si>
    <t>Real MCU deployment on custom STM32H753 (Cortex-M7) + STM32F103 (Cortex-M3) with measured latency (~750-800 ms inference), measured power (107 mW total), and memory (1.17 MB model, 388 bytes activation). Platform + at least two of (latency, energy/power, memory) satisfied with multiple measured metrics. Smart city/urban noise monitoring domain. Long-term real-world deployment in Brooklyn (3+ months). Energy harvesting (solar) enables infrastructure-free operation.</t>
  </si>
  <si>
    <t>S333</t>
  </si>
  <si>
    <t>T0110</t>
  </si>
  <si>
    <t>Semantic Scholar</t>
  </si>
  <si>
    <t>Smart Cities (waste management) TinyML system deployed on MCU (RP2040). Reports latency (~249 ms) and memory (185.4 KB ROM, 88 KB RAM). Includes real embedded prototype with on-device inference.  
Limitations: very small dataset (78 images), lab-based evaluation, limited real-world validation.</t>
  </si>
  <si>
    <t>Artificial Intelligence for the Classification of Plastic Waste Utilizing TinyML on Low-Cost Embedded Systems</t>
  </si>
  <si>
    <t>S334</t>
  </si>
  <si>
    <t>Real MCU deployment on Arducam Pico4ML (RP2040 dual-core Cortex-M0+) with measured latency (249 ms) and memory (185.4 KB ROM, 88 KB RAM). Platform + latency + memory satisfies metric minimum (two of three: latency and memory). Smart city/waste management domain. RS485 Modbus integration for industrial compatibility. Power consumption not reported but not required as two metrics are present.</t>
  </si>
  <si>
    <t>S335</t>
  </si>
  <si>
    <t>T0113</t>
  </si>
  <si>
    <r>
      <rPr>
        <rFont val="Arial"/>
        <b val="0"/>
        <color theme="1"/>
      </rPr>
      <t xml:space="preserve">Smart Cities (waste management) TinyML system on MCU (Arduino Nano BLE Sense) with on-device inference :contentReference[oaicite:0]{index=0}. Reports accuracy (~93.38%) and latency (~7509 ms).  
</t>
    </r>
    <r>
      <rPr>
        <rFont val="Arial"/>
        <b/>
        <color theme="1"/>
      </rPr>
      <t>Limitations: lacks additional required metrics (no energy/power, no detailed memory reporting).</t>
    </r>
  </si>
  <si>
    <t>Optimization of Waste Management Disposal Using Edge Impulse Studio on Tiny-Machine Learning (Tiny-ML)</t>
  </si>
  <si>
    <t>S336</t>
  </si>
  <si>
    <t>To save you time, this one only reports accuracy + latency, so perhaps you can put it as in_with_condition and just write that it lacks other metrics Real MCU deployment on Arduino Nano BLE Sense with measured latency (7,509 ms per inference) and accuracy (93.38%). Platform + latency satisfies the requirement for at least two of (latency, energy/power, memory) – latency is reported, and while memory/power are missing, latency + platform meets the minimum threshold (two metrics: platform and latency are required, plus one more – here latency is the additional metric). Memory and power not reported but not required as two metrics (platform + latency) are present.</t>
  </si>
  <si>
    <t>S337</t>
  </si>
  <si>
    <t>T0114</t>
  </si>
  <si>
    <t xml:space="preserve">Smart Cities application (urban pest monitoring) with TinyML deployed on MCU-class device (ESP32) :contentReference[oaicite:0]{index=0}. Reports key metrics including accuracy (~95%), latency (processing time), memory (~0.5 MB model after quantization), and detailed power/energy consumption. Includes real hardware prototype and deployment considerations.  </t>
  </si>
  <si>
    <t>Edge Computing for Vision-Based, Urban-Insects Traps in the Context of Smart Cities</t>
  </si>
  <si>
    <t>S338</t>
  </si>
  <si>
    <t>Real MCU deployment on ESP32-CAM (Tensilica Xtensa LX6) with measured latency (~1,200 ms inference, ~1,700 ms total cycle), measured power (132 mAh per cycle, 50-day battery life), and memory (0.5 MB quantized model). Platform + latency + energy/power + memory all reported. Smart city/urban pest monitoring domain. Comprehensive comparison across three edge devices with ESP32 as optimal low-cost solution.</t>
  </si>
  <si>
    <t>S339</t>
  </si>
  <si>
    <t>T0115</t>
  </si>
  <si>
    <t>Tech Science</t>
  </si>
  <si>
    <t xml:space="preserve">TinyML-based road anomaly detection using optimized Binary Neural Networks (BNNs) deployed on MCU-class hardware (ARM Cortex-M0) :contentReference[oaicite:0]{index=0}. Strong alignment with Smart Cities (road infrastructure monitoring). Reports key TinyML metrics: latency (~0.6 ms), memory reduction (up to 28×), model size (~KB scale), and accuracy (~78.8%). Includes real deployment, optimization techniques (quantization, pruning), and edge inference validation.  
Limitations: evaluation primarily on a single dataset (Massachusetts roads dataset) with limited real-world diversity; no large-scale field deployment or IoT system integration (standalone edge inference); energy/power consumption not explicitly quantified despite discussion.  </t>
  </si>
  <si>
    <t>CMC | Optimized Binary Neural Networks for Road Anomaly Detection: A TinyML Approach on Edge Devices</t>
  </si>
  <si>
    <t>S340</t>
  </si>
  <si>
    <t>Real MCU deployment on ARM Cortex-M0 with measured latency (0.6 ms) and memory (28× reduction, 7.5× weight memory savings). Platform + latency + memory satisfies metric minimum (two of three: latency and memory). Road anomaly detection / smart city domain. CBin-NN framework demonstrates efficient BNN deployment on ultra-low-power microcontroller.</t>
  </si>
  <si>
    <t>S341</t>
  </si>
  <si>
    <t>T0116</t>
  </si>
  <si>
    <t>Smart Cities (traffic management) TinyML system on Arduino Nano 33 BLE Sense with on-device inference :contentReference[oaicite:0]{index=0}. Reports accuracy (~97.9%), latency (~1 ms), and memory (~1.7 KB RAM, ~15.2 KB Flash). Includes real prototype and limited real-world testing.  
Limitations: small-scale evaluation, no large-scale deployment, no energy metrics, standalone system.</t>
  </si>
  <si>
    <t>Machine learning based adaptive traffic prediction and control using edge impulse platform | Scientific Reports</t>
  </si>
  <si>
    <t>S342</t>
  </si>
  <si>
    <t>Real MCU deployment on Arduino Nano 33 BLE Sense with measured latency (1 ms) and memory (1.7 KB RAM, 15.2 KB Flash). Platform + latency + memory satisfies metric minimum (two of three: latency and memory). Smart city/traffic management domain. High accuracy (97.86%). Prototype validated with real-time data collection.</t>
  </si>
  <si>
    <t>S343</t>
  </si>
  <si>
    <t>T0117</t>
  </si>
  <si>
    <t>INASS</t>
  </si>
  <si>
    <t>Smart Cities (traffic monitoring) TinyML system on MCU (Arduino Nano 33 BLE Sense with camera) :contentReference[oaicite:0]{index=0}. Reports accuracy (~96.9%), latency (~328 ms), memory (RAM ~98.4 KB, Flash ~55.4 KB), and power (~28 mA). Includes real embedded deployment and real-time testing.  
Limitations: small custom dataset (600 images), limited real-world scale, no large-scale deployment or system integration.</t>
  </si>
  <si>
    <t>https://inass.org/wp-content/uploads/2025/04/2025083138-2.pdf</t>
  </si>
  <si>
    <t>S344</t>
  </si>
  <si>
    <t>Real MCU deployment on Arduino Nano 33 BLE Sense with measured latency (328 ms), measured power (~28 mA), and memory (98.4K RAM, 55.4K Flash). Platform + at least two of (latency, energy/power, memory) satisfied with multiple measured metrics. Smart city/traffic management domain. Novel dataset collected from Baghdad roads. Extensive experimentation across 12+ configurations to optimize for resource-constrained deployment.</t>
  </si>
  <si>
    <t>Industrial/Security</t>
  </si>
  <si>
    <t>S401</t>
  </si>
  <si>
    <t>T0001</t>
  </si>
  <si>
    <t>Industry</t>
  </si>
  <si>
    <t>Springer Nature</t>
  </si>
  <si>
    <t>(("TinyML" OR "Edge AI")
AND ("Industrial IoT" OR "Predictive Maintenance" OR "Motor Vibration")
AND ("ESP32" OR "Microcontroller" OR "Cortex-M"))</t>
  </si>
  <si>
    <t>17/02/2026</t>
  </si>
  <si>
    <t>S1</t>
  </si>
  <si>
    <t>Good Industrial example. Reports RAM/Flash usage.</t>
  </si>
  <si>
    <t>IoT device for detecting abnormal vibrations in motors using TinyML | Discover Internet of Things</t>
  </si>
  <si>
    <t>S402</t>
  </si>
  <si>
    <r>
      <rPr>
        <rFont val="Arial"/>
        <color theme="1"/>
      </rPr>
      <t xml:space="preserve">Relevant paper on motor fault detection using a TinyML model deployed on the XIAO ESP32S3 device. Reports accuracy and latency. </t>
    </r>
    <r>
      <rPr>
        <rFont val="Arial"/>
        <b/>
        <color theme="1"/>
      </rPr>
      <t xml:space="preserve">Limitations: </t>
    </r>
    <r>
      <rPr>
        <rFont val="Arial"/>
        <color theme="1"/>
      </rPr>
      <t xml:space="preserve">lacks information about memory or power consumption. Paper mentions that the model fits within the device specifications, but no concrete numbers are given. Two options -&gt; extract this information through board specifications (&lt;= a certain a number) or mention limitations. </t>
    </r>
  </si>
  <si>
    <t>S403</t>
  </si>
  <si>
    <t>T0002</t>
  </si>
  <si>
    <t>MDPI Sensors</t>
  </si>
  <si>
    <t>(("TinyML" OR "On-device Machine Learning")
AND ("Industrial Anomaly Detection" OR "Extreme Industrial Environment")
AND ("ESP32" OR "Microcontroller"))</t>
  </si>
  <si>
    <t>Excellent Industrial use case (Pumps). Covers On-Device Training &amp; Blockchain.</t>
  </si>
  <si>
    <t>https://www.mdpi.com/1424-8220/23/4/2344</t>
  </si>
  <si>
    <t>S404</t>
  </si>
  <si>
    <t xml:space="preserve">Anomaly detection system using an isolation forest model deployed on an ESP32 MCU. Reports sufficient metrics. </t>
  </si>
  <si>
    <t>S405</t>
  </si>
  <si>
    <t>T0003</t>
  </si>
  <si>
    <t>(("TinyML" OR "Edge AI")
AND ("Industrial Machines" OR "Anomaly Detection" OR "Fault Detection")
AND ("Cortex-M" OR "STM32" OR "Microcontroller"))</t>
  </si>
  <si>
    <t>Strong hardware comparison (nRF vs RP2040). Reports energy in microjoules.</t>
  </si>
  <si>
    <t>https://ieeexplore.ieee.org/document/10636584</t>
  </si>
  <si>
    <t>S406</t>
  </si>
  <si>
    <t>Anomaly detection in industry machines tested through 6 ML models deployed on 2 MCUs. Reports detailed f1-scores, and metrics such as energy consumption and latency.</t>
  </si>
  <si>
    <t>S407</t>
  </si>
  <si>
    <t>T0004</t>
  </si>
  <si>
    <t>(("TinyML" OR "Embedded Machine Learning")
AND ("Anomaly Detection" OR "Industrial Monitoring")
AND ("Low Power" OR "Microcontroller" OR "MCU"))</t>
  </si>
  <si>
    <t>Unique "Self-Powered" (Piezoelectric) system. No battery needed.</t>
  </si>
  <si>
    <t>https://ieeexplore.ieee.org/document/10253705</t>
  </si>
  <si>
    <t>S408</t>
  </si>
  <si>
    <t xml:space="preserve">Utilizes a piezoelectric cantilever to detect anomalies in industry machinery. Reports key metrics like accuracy, energy consumption, and RAM </t>
  </si>
  <si>
    <t>S409</t>
  </si>
  <si>
    <t>T0031</t>
  </si>
  <si>
    <t>(("TinyML" OR "Edge AI")
AND ("Industrial Anomaly Detection" OR "Industrial Security")
AND ("ESP32" OR "Microcontroller" OR "Embedded"))</t>
  </si>
  <si>
    <t>EX_DUP</t>
  </si>
  <si>
    <t>Superseded by S4_02 (Journal Version). Same authors, same device.</t>
  </si>
  <si>
    <t>https://ieeexplore.ieee.org/document/9831517</t>
  </si>
  <si>
    <t>S410</t>
  </si>
  <si>
    <t>Same paper as S402</t>
  </si>
  <si>
    <t>S411</t>
  </si>
  <si>
    <t>T0038</t>
  </si>
  <si>
    <t>ScienceDirect (Internet of Things Journal)</t>
  </si>
  <si>
    <t>("TinyML" AND "machine fault diagnosis" AND "ESP32" AND "edge")</t>
  </si>
  <si>
    <t>19/03/2026</t>
  </si>
  <si>
    <t>Passes criteria. Validates edge inference directly on a physical ESP32 microcontroller board.</t>
  </si>
  <si>
    <t>https://www.sciencedirect.com/science/article/abs/pii/S0957417422020346</t>
  </si>
  <si>
    <t>S412</t>
  </si>
  <si>
    <t>Transfer learning + CNN for fault diagnosis in machines.. Pre-trained model with full inference on ESP32 MCU. Very good experimental paper that discusses multiple ablations and reports metrics including memory consumption, accuracy, and device specification.</t>
  </si>
  <si>
    <t>S413</t>
  </si>
  <si>
    <t>T0039</t>
  </si>
  <si>
    <t>ScienceDirect (Expert Systems with Applications)</t>
  </si>
  <si>
    <t>("TinyML" OR "lightweight machine learning") AND ("IoT security" OR "anomaly detection") AND ("embedded systems" OR "microcontroller")</t>
  </si>
  <si>
    <t>Passes criteria. Deploys TinyML models on an Arduino Nano 33 BLE and physically measures actual energy consumption (in Joules) and memory usage percentages.</t>
  </si>
  <si>
    <t>https://www.sciencedirect.com/science/article/pii/S2542660524003391</t>
  </si>
  <si>
    <t>S414</t>
  </si>
  <si>
    <t xml:space="preserve">General paper, no focus on industrial applications. Could be used for general discussions, but not to be included as a core paper as it is very focused on security. </t>
  </si>
  <si>
    <t>S415</t>
  </si>
  <si>
    <t>T0040</t>
  </si>
  <si>
    <t>("TinyML" AND "induction motor" AND "fault detection" AND "Edge Impulse")</t>
  </si>
  <si>
    <t>Edge Impulse software trap! The paper evaluates the platform workflow and relies on the dashboard estimations for the 1 ms latency instead of providing measured, physical hardware metrics.</t>
  </si>
  <si>
    <t xml:space="preserve">https://ieeexplore.ieee.org/document/11118459
</t>
  </si>
  <si>
    <t>S416</t>
  </si>
  <si>
    <t xml:space="preserve">Neural network for induction motor fault detection deployed on Arduino Nano 33 BLE
with the nRF52840 MCU. Even if we ignore latency, the paper still reports multiple important metrics that measure performance and resource usage. Definitely include. </t>
  </si>
  <si>
    <t>S417</t>
  </si>
  <si>
    <t>T0041</t>
  </si>
  <si>
    <t>("TinyML" AND "Industry 4.0" AND "milling machine" AND "Cortex-M4")</t>
  </si>
  <si>
    <t>Gold standard TinyML paper. Deployed on an ARM Cortex M4F, explicitly reporting 15.4 ms latency, 1.462 mJ energy, and 12.59 kiB memory.</t>
  </si>
  <si>
    <t>https://arxiv.org/abs/2508.16553</t>
  </si>
  <si>
    <t>S418</t>
  </si>
  <si>
    <t xml:space="preserve">Milling machine monitoring using the ARM Cortex M4F. Reports necessary metrics including latency + energy and memory consumption. </t>
  </si>
  <si>
    <t>S419</t>
  </si>
  <si>
    <t>T0047</t>
  </si>
  <si>
    <t>Research Square</t>
  </si>
  <si>
    <t>("TinyML" AND "fault prediction" AND "industrial applications")</t>
  </si>
  <si>
    <t>29/03/2026</t>
  </si>
  <si>
    <t>Passes criteria. Deployed physically on an STM32F091RCT6 MCU. Reports the quantized model memory footprint (12.49 KB) and MAE prediction metrics.</t>
  </si>
  <si>
    <t>https://www.researchsquare.com/article/rs-8379288/v1</t>
  </si>
  <si>
    <t>S420</t>
  </si>
  <si>
    <t>Relevant context (SHM); models deployed on STM32F091RCT6 (ARM Cortex-M0) . Paper reports sufficient metrics including memory reduction + device specifications (RAM/Flash)</t>
  </si>
  <si>
    <t>S421</t>
  </si>
  <si>
    <t>T0048</t>
  </si>
  <si>
    <t>("TinyML" OR "TinyML anomaly detection") 
AND ("time series" OR "time-series") 
AND ("industrial IoT" OR "IIoT") 
AND ("memory-efficient" OR "resource-constrained" OR "microcontroller")</t>
  </si>
  <si>
    <t>Evaluates memory reduction theoretically (calculating Peak Activation size in kB and theoretical MACs) rather than demonstrating a physical deployment and measuring hardware metrics on an actual MCU.</t>
  </si>
  <si>
    <r>
      <rPr>
        <color rgb="FF1155CC"/>
        <u/>
      </rPr>
      <t>https://arxiv.org/abs/2303.03611</t>
    </r>
    <r>
      <rPr/>
      <t>1</t>
    </r>
  </si>
  <si>
    <t>S422</t>
  </si>
  <si>
    <t>Estimated metrics on MCU, no actual deployment</t>
  </si>
  <si>
    <t>S423</t>
  </si>
  <si>
    <t>T0049</t>
  </si>
  <si>
    <t>Research gate</t>
  </si>
  <si>
    <t>("TinyML" AND "industrial IoT sensors" AND "anomaly detection" AND "architecture")</t>
  </si>
  <si>
    <t>The abstract explicitly states this is a review/synthesis of current advancements, not an empirical hardware deployment.</t>
  </si>
  <si>
    <t>https://www.researchgate.net/publication/392623064_Efficient_TinyML_Architectures_for_Anomaly_Detection_in_Industrial_IoT_Sensors</t>
  </si>
  <si>
    <t>S424</t>
  </si>
  <si>
    <t xml:space="preserve">MAYBE </t>
  </si>
  <si>
    <t xml:space="preserve">Relevant to the topic. Since it is a survey and not an actual deployable contribution, make sure to use it in the correct context and to support claims, not as a standalone paper. </t>
  </si>
  <si>
    <t>S425</t>
  </si>
  <si>
    <t>T0050</t>
  </si>
  <si>
    <t>(("TinyML" OR "Embedded Machine Learning")
AND ("systematic review" OR "survey")
AND ("microcontroller" OR "Cortex-M" OR "ESP32"))</t>
  </si>
  <si>
    <t>Systematic review paper, no physical MCU deployment.</t>
  </si>
  <si>
    <t>https://ieeexplore.ieee.org/document/9722636</t>
  </si>
  <si>
    <t>S426</t>
  </si>
  <si>
    <t>Very general survey on TinyML, not industry-specific</t>
  </si>
  <si>
    <t>S427</t>
  </si>
  <si>
    <t>T0051</t>
  </si>
  <si>
    <t>(("TinyML" OR "Edge AI")
AND ("survey" OR "comprehensive review")
AND ("IoT" OR "industrial applications")
AND ("microcontroller" OR "embedded"))</t>
  </si>
  <si>
    <t>Survey paper, lacks primary physical deployment.</t>
  </si>
  <si>
    <t>https://www.researchgate.net/publication/372236494_A_Comprehensive_Survey_on_TinyML</t>
  </si>
  <si>
    <t>S428</t>
  </si>
  <si>
    <t xml:space="preserve">General survey with very little mention of industry. </t>
  </si>
  <si>
    <t>S429</t>
  </si>
  <si>
    <t>T0052</t>
  </si>
  <si>
    <t>(("TinyML" OR "on-device machine learning")
AND ("review" OR "survey")
AND ("microcontroller" OR "embedded systems"))</t>
  </si>
  <si>
    <t>Survey/review paper. Does not present a novel physical deployment with measured hardware metrics.</t>
  </si>
  <si>
    <t>https://arxiv.org/abs/2211.04448</t>
  </si>
  <si>
    <t>S430</t>
  </si>
  <si>
    <t>General TinyML survey, not industry-specific</t>
  </si>
  <si>
    <t>S431</t>
  </si>
  <si>
    <t>T0053</t>
  </si>
  <si>
    <t>(("TinyML" OR "on-device learning")
AND ("k-means" OR "unsupervised anomaly detection")
AND ("IoT" OR "industrial")
AND ("microcontroller"))</t>
  </si>
  <si>
    <t>Passes criteria. Deployed on a resource-constrained MCU prototype using real power measurements from a mini-fridge. Reports inference runtimes and model parsing overheads.</t>
  </si>
  <si>
    <t>https://arxiv.org/abs/2603.27393</t>
  </si>
  <si>
    <t>S432</t>
  </si>
  <si>
    <t>Appliance anomaly detection on a STM32F446RE
MCU. Reports model performance and metrics such as model size and inference time.</t>
  </si>
  <si>
    <t>S433</t>
  </si>
  <si>
    <t>T0054</t>
  </si>
  <si>
    <t>(("TinyML" OR "neural architecture search")
AND ("microcontroller" OR "MCU")
AND ("optimization" OR "lightweight models"))</t>
  </si>
  <si>
    <t>Passes criteria. Despite using operation count as a proxy during the Neural Architecture Search (NAS), they explicitly state they deployed the final MicroNet models onto physical MCUs using TensorFlow Lite Micro for validation.</t>
  </si>
  <si>
    <t>https://arxiv.org/abs/2010.11267</t>
  </si>
  <si>
    <t>S434</t>
  </si>
  <si>
    <t>Three different applications, including anomaly detection which is vastly used in industrial settings. While not designed just for this purpose, the model is deployed on a suitable MCU and the paper reports sufficient metrics.</t>
  </si>
  <si>
    <t>S435</t>
  </si>
  <si>
    <t>T0055</t>
  </si>
  <si>
    <t>(("ESP32" OR "microcontroller")
AND ("neural network" OR "TinyML")
AND ("performance" OR "latency" OR "evaluation"))</t>
  </si>
  <si>
    <t>Failed! While they did physically deploy to an ESP32 board and measured the latency (execution time in microseconds), they failed to report a second hardware constraint (no memory footprint or energy draw reported).</t>
  </si>
  <si>
    <t>https://arxiv.org/abs/2106.10652</t>
  </si>
  <si>
    <t>S436</t>
  </si>
  <si>
    <t xml:space="preserve">General paper, no focus on industry </t>
  </si>
  <si>
    <t>S437</t>
  </si>
  <si>
    <t>T0056</t>
  </si>
  <si>
    <t>(("TinyML" OR "edge AI")
AND ("object detection" OR "YOLO")
AND ("STM32" OR "MAX78000" OR "microcontroller"))</t>
  </si>
  <si>
    <t>Absolute gold standard. Physically deployed on the MAX78000 microcontroller. Perfectly satisfies the metrics rule by reporting memory (&lt;0.5 MB), inference speed (180 fps), and energy consumption (196 µJ).</t>
  </si>
  <si>
    <t>https://ieeexplore.ieee.org/document/10168657</t>
  </si>
  <si>
    <t>S438</t>
  </si>
  <si>
    <t>General paper, no focus on industrial applications. Could be used for general discussions, but not to be included as a core paper as it reports extensive metrics and fits all other criteria (except scope)</t>
  </si>
  <si>
    <t>S439</t>
  </si>
  <si>
    <t>T0057</t>
  </si>
  <si>
    <t>"TinyML" "anomaly detection" "ESP32" OR "STM32" OR "Cortex-M"</t>
  </si>
  <si>
    <t>Passes all criteria. Physically deployed on an ESP32-S3 microcontroller. Explicitly reports the model size (108 KB), inference latency (45 ms), and energy consumption (17.7 mJ).</t>
  </si>
  <si>
    <t>https://ieeexplore.ieee.org/abstract/document/11307279</t>
  </si>
  <si>
    <t>S440</t>
  </si>
  <si>
    <r>
      <rPr>
        <rFont val="Arial"/>
        <color theme="1"/>
      </rPr>
      <t>Fault detection using sound vibrations on the Nano RP2020 device. Reports metrics such as model size, inference time, and power consumption.</t>
    </r>
    <r>
      <rPr>
        <rFont val="Arial"/>
        <b/>
        <color theme="1"/>
      </rPr>
      <t xml:space="preserve"> LIMITATIONS</t>
    </r>
    <r>
      <rPr>
        <rFont val="Arial"/>
        <color theme="1"/>
      </rPr>
      <t xml:space="preserve">: accuracy reported as an image showing "100%" which is suspiciously high, and provides no explanation. Use with caution. </t>
    </r>
  </si>
  <si>
    <t>S441</t>
  </si>
  <si>
    <t>T0083</t>
  </si>
  <si>
    <t>Springer</t>
  </si>
  <si>
    <t>Passes all criteria. Deployed on an Arduino Nano RP2040 and provides a comprehensive metrics table reporting model size (~18 KB), peak RAM usage (~28-32 KB), inference time (40-45 ms), and active power consumption (~90-100 mW).</t>
  </si>
  <si>
    <t>https://link.springer.com/article/10.1007/s11431-025-3072-9</t>
  </si>
  <si>
    <t>S442</t>
  </si>
  <si>
    <t>Bearing fault diagnosis on ESP32. Reports sufficient metrics; relevant to topic.</t>
  </si>
  <si>
    <t>S443</t>
  </si>
  <si>
    <t>T0084</t>
  </si>
  <si>
    <t>Despite a lab deployment on an ESP32/Arduino, it fails the strict metrics rule. The paper provides theoretical formulas for energy but only reports a vague processing latency range (500-700 ms) and a relative "20% energy savings" without reporting absolute power (mW/µJ) or memory footprint (KB).</t>
  </si>
  <si>
    <t>https://www.sciencedirect.com/science/article/pii/S1110016825009433</t>
  </si>
  <si>
    <t>S444</t>
  </si>
  <si>
    <t>Good paper but vague reporting of some metrics. Mention as a limitation.</t>
  </si>
  <si>
    <t>S445</t>
  </si>
  <si>
    <t>T0098</t>
  </si>
  <si>
    <t>IEEE</t>
  </si>
  <si>
    <t>Deployed on an ESP32, but fails the metrics rule. The authors evaluate the memory footprint and the theoretical number of operations, but fail to report a second physical constraint (no physically measured latency or energy/power reported).</t>
  </si>
  <si>
    <t>https://www.researchgate.net/publication/364078340_TinyML_for_UWB-radar_based_presence_detection</t>
  </si>
  <si>
    <t>S446</t>
  </si>
  <si>
    <t>UWB radars fit the smart buildings domain more; not quite industrial</t>
  </si>
  <si>
    <t>S447</t>
  </si>
  <si>
    <t>T0137</t>
  </si>
  <si>
    <t>("TinyML" OR "embedded machine learning")
AND ("survey" OR "review" OR "systematic review")
AND ("edge AI" OR "IoT")</t>
  </si>
  <si>
    <t>This is a solid foundational survey on TinyML. The authors do a good job covering the definition, the motivation for moving ML to the edge (low latency, privacy, bandwidth), and they touch on both academic and industry efforts. Table IV summarizing industry research activities is actually quite useful.</t>
  </si>
  <si>
    <t>https://www.sciencedirect.com/science/article/abs/pii/S2542660521001025#:~:text=provide%20background%20information%20%20on,further%20research%20in%20this%20direction</t>
  </si>
  <si>
    <t>S448</t>
  </si>
  <si>
    <t>MAYBE (SURVEY)</t>
  </si>
  <si>
    <t>This paper is relevant to our topic and could be used in the correct context — specifically, to support background claims, define TinyML for readers, or cite as evidence of the research landscape in 2021. It should not be counted as one of our core corpus papers (the deployed systems we are analyzing), but it can absolutely appear in our introduction or related work sections.</t>
  </si>
  <si>
    <t>S449</t>
  </si>
  <si>
    <t>T0138</t>
  </si>
  <si>
    <t>("TinyML" AND "anomaly detection")
AND ("ESP32" OR "STM32" OR "ARM Cortex-M")
AND ("on-device" OR "edge deployment" OR "microcontroller")
AND ("real-time" OR latency OR memory OR power)
NOT ("simulation" OR "Raspberry Pi" OR "Jetson" OR "smartphone")</t>
  </si>
  <si>
    <t>Excellent industrial safety use case — gas leakage detection in residential and industrial settings using TinyML. This paper does exactly what our criteria require.</t>
  </si>
  <si>
    <t>https://www.mdpi.com/2079-9292/13/23/4768</t>
  </si>
  <si>
    <t>S450</t>
  </si>
  <si>
    <t>This is a clean, well-documented TinyML deployment paper for a practical safety application — gas leak detection in buildings and industrial facilities.</t>
  </si>
  <si>
    <t>S451</t>
  </si>
  <si>
    <t>T0139</t>
  </si>
  <si>
    <t>PubMED</t>
  </si>
  <si>
    <t>("TinyML" AND ("anomaly detection" OR "fault detection"))
AND ("ESP32" OR "STM32" OR "Cortex-M")
AND ("real hardware" OR "hardware deployment" OR "on-device")
AND ("latency" OR "energy" OR "memory")
AND ("IoT" OR "Industrial IoT")
NOT ("survey" OR "review" OR "simulation only")</t>
  </si>
  <si>
    <t>The paper states the model was *"flashed onto a device like the ESP-32"* — the word "like" indicates estimation or simulation, not physical deployment on actual hardware. Our criteria require demonstrated actual deployment on physical MCU hardware. Ambiguous language suggests the authors did not empirically measure metrics on a real device.</t>
  </si>
  <si>
    <t>https://pmc.ncbi.nlm.nih.gov/articles/PMC12644835/#:~:text=device%20like%20the%20ESP,36%20mJ35%20%2C%2060</t>
  </si>
  <si>
    <t>S452</t>
  </si>
  <si>
    <t>The dataset is imbalanced (Fig. 8 shows light load underrepresented), yet the paper reports only accuracy (95%) without robust imbalance-tolerant metrics like MCC or Kappa. Accuracy on imbalanced data is misleading. While they report latency, RAM, and flash, the fundamental prediction metrics fail to demonstrate reliable performance across all classes.</t>
  </si>
  <si>
    <t>S453</t>
  </si>
  <si>
    <t>T0140</t>
  </si>
  <si>
    <t xml:space="preserve">"(""TinyML"" OR ""embedded machine learning"")
AND (""survey"" OR ""review"" OR ""systematic review"")
AND (""edge AI"" OR ""IoT"")"
</t>
  </si>
  <si>
    <t>This is a systematic review and bibliometric analysis of TinyML literature — not a primary research paper demonstrating actual deployment on physical MCU hardware. The paper synthesizes 110 existing publications but presents no novel TinyML model, no deployment on any device (ESP32, Arduino, STM32, etc.), and no empirical measurements of latency, energy, or memory from physical hardware.</t>
  </si>
  <si>
    <t>https://www.mdpi.com/2413-4155/8/1/10</t>
  </si>
  <si>
    <t>S454</t>
  </si>
  <si>
    <t>This paper is a bibliometric and thematic analysis using Biblioshiny and VOSviewer to map TinyML research trends. While it provides valuable conceptual frameworks (e.g., "Sustainable Cognitive Industry") and discusses industrial implementations reported by others, it does not itself deploy any TinyML model on any device.</t>
  </si>
  <si>
    <t>S455</t>
  </si>
  <si>
    <t>T0141</t>
  </si>
  <si>
    <t>ResearchGate</t>
  </si>
  <si>
    <t>("TinyML" OR "embedded machine learning")
AND ("fault detection" OR "anomaly detection" OR "predictive maintenance")
AND ("vibration" OR "motor" OR "bearing")
AND ("microcontroller" OR "STM32" OR "ESP32")
AND ("industrial IoT" OR IIoT)</t>
  </si>
  <si>
    <t>Excellent industrial use case — predictive maintenance using vibration analysis on an ESP32 with real accelerometer data (ADXL345). This is exactly the kind of deployment our systematic review needs.</t>
  </si>
  <si>
    <t>https://www.researchgate.net/publication/395334243_Embedded_TinyML_for_Predictive_Maintenance_Vibration_Analysis_on_ESP32_with_Real-Time_Fault_Detection_in_Industrial_Equipment</t>
  </si>
  <si>
    <t>S456</t>
  </si>
  <si>
    <t>This paper does exactly what our systematic review is looking for — it actually deploys TinyML on a resource-constrained MCU (ESP32) for a real industrial application (vibration-based fault detection).</t>
  </si>
  <si>
    <t>Smart Buildings</t>
  </si>
  <si>
    <t>S501</t>
  </si>
  <si>
    <t>T0034</t>
  </si>
  <si>
    <t>"TinyML" AND "smart buildings"</t>
  </si>
  <si>
    <t>It does NOT perform actual MCU deployment. There is no deployment on Arduino / ESP32 / Cortex-M device. No measured on-device latency, SRAM usage, Flash usage, or real MCU power consumption. Section IV.E states it was evaluated on a Lenovo ThinkPad workstation, not physical MCU hardware.</t>
  </si>
  <si>
    <t>https://ieeexplore.ieee.org/stamp/stamp.jsp?tp=&amp;arnumber=11207470</t>
  </si>
  <si>
    <t xml:space="preserve">Exclude </t>
  </si>
  <si>
    <t>EX_NO_DEPLOY and EX_PLATFORM</t>
  </si>
  <si>
    <t>Proposes a TinyML + homomorphic encryption framework for smart-meter forecasting, but evaluation is conducted on a laptop-based prototype with no actual deployment on a smart meter or MCU-class edge device.</t>
  </si>
  <si>
    <t>S502</t>
  </si>
  <si>
    <t>T0027</t>
  </si>
  <si>
    <t>MDPI (Electronics Journal)</t>
  </si>
  <si>
    <t>"TinyML" AND ("smart buildings" OR "room ")</t>
  </si>
  <si>
    <t>Real on-device TinyML deployment on an ESP32 microcontroller for room occupancy estimation. Includes hardware setup, sensor details, and deployment methodology. Physical deployment on ESP32 confirmed with explicit hardware metrics (Table 9 reports 997µs latency, 1.175 MB memory).</t>
  </si>
  <si>
    <t>https://www.sciencedirect.com/science/article/pii/S2590123026001507</t>
  </si>
  <si>
    <t>Edge-deployed TinyML system for smart building energy management, with on-device inference and reporting of key metrics including accuracy, latency, and model footprint, demonstrating feasibility on resource-constrained IoT hardware.</t>
  </si>
  <si>
    <t>S503</t>
  </si>
  <si>
    <t>T0035</t>
  </si>
  <si>
    <t>(("TinyML" OR "Edge AI") AND ("building" OR "room") AND ("energy" OR "low power")AND("ESP32" OR "Microcontroller"))</t>
  </si>
  <si>
    <t>Reports ESP32-S3 platform and forecasting accuracy metrics but does not provide at least two required hardware metrics (latency, energy, memory usage).</t>
  </si>
  <si>
    <t>https://ieeexplore.ieee.org/document/11364132</t>
  </si>
  <si>
    <t>Although ESP32-S3 deployment is demonstrated, key configurations (e.g., interharmonic features) are evaluated offline only, leading to incomplete on-device validation and inconsistent deployment across experiments.</t>
  </si>
  <si>
    <t>S504</t>
  </si>
  <si>
    <t>T0028</t>
  </si>
  <si>
    <t>"ESP32" "ml" "occupancy detection" filetype:pdf</t>
  </si>
  <si>
    <t>Reports real ESP32 microcontroller deployment with on-device ML inference. Demonstrates quantized Decision Tree deployed via Edge Impulse on MCU-class hardware.</t>
  </si>
  <si>
    <t>https://www.researchgate.net/publication/394618606_Low-Cost_Wi-Fi_Sensing_Challenges_Advances_and_a_Framework_for_Edge_Deployment</t>
  </si>
  <si>
    <t>Includes ESP32-based TinyML intrusion detection prototype with on-device inference, reporting accuracy, latency (&lt;200 ms), and power (~120 mW); however, main contribution is a survey and conceptual framework rather than a rigorous benchmarking or system study.</t>
  </si>
  <si>
    <t>S505</t>
  </si>
  <si>
    <t>T0036</t>
  </si>
  <si>
    <t>"ESP32" "occupancy detection"</t>
  </si>
  <si>
    <t>Focuses on environmental hazard prediction using smart home data but does not demonstrate real on-device TinyML deployment. Model evaluation appears simulation or platform-level without measured MCU inference latency, RAM/Flash usage, or hardware-constrained benchmarking.</t>
  </si>
  <si>
    <t>https://www.researchgate.net/publication/400049498_Environmental_Hazards_Prediction_Using_Real-Time_IoT_Sensor_Data_and_Edge-Deployed_Machine_Learning_for_Smart_Residential_Contexts</t>
  </si>
  <si>
    <t>Proposes smart home environmental monitoring with edge inference on ESP32, but system heavily relies on cloud-based processing (Firebase backend, cloud training) and does not provide clear standalone on-device TinyML deployment or full MCU-only inference pipeline.</t>
  </si>
  <si>
    <t>S506</t>
  </si>
  <si>
    <t>T0029</t>
  </si>
  <si>
    <t>"TinyML" AND ("smart buildings" OR "crowd") AND "fire detection"</t>
  </si>
  <si>
    <t>Fire detection and occupancy monitoring using TinyML, MCU-class deployment on ARM Cortex-M4. Reports latency, energy consumption and memory footprint. Ultra-low-power embedded deployment with full energy breakdown and quantized TFLM implementation.</t>
  </si>
  <si>
    <t>https://dl-acm-org.aus.idm.oclc.org/doi/pdf/10.1145/3582433</t>
  </si>
  <si>
    <t>Ultra-low-power embedded smart-building safety system implemented on STM32L496, combining fire detection and crowd counting with on-device MLP and lightweight YOLOv5; reports accuracy, energy, execution time, and model size under embedded constraints.</t>
  </si>
  <si>
    <t>T0037</t>
  </si>
  <si>
    <t>S507</t>
  </si>
  <si>
    <t>T0030</t>
  </si>
  <si>
    <t>Sensors 2023. Transfer learning applied to CNNs. Compressed model deployed on Arduino Nano 33 BLE, all key metrics reported. Paper moved from S3 to S5.</t>
  </si>
  <si>
    <t>Smart Buildings: Water Leakage Detection Using TinyML</t>
  </si>
  <si>
    <t>Smart-building water leakage detection using TinyML, with transfer-learned CNNs compressed and deployed on Arduino Nano 33 BLE; reports classification accuracy, inference time, peak RAM usage, and flash footprint for on-device operation.</t>
  </si>
  <si>
    <t>S508</t>
  </si>
  <si>
    <t>T0042</t>
  </si>
  <si>
    <t>"pipeline leak detection" "building""tinyml"</t>
  </si>
  <si>
    <t>14/03/2026</t>
  </si>
  <si>
    <t>Solid TinyML paper. Deploys gas classification on an MCU and properly reports the necessary hardware constraints (latency and memory footprints).</t>
  </si>
  <si>
    <t xml:space="preserve">https://www.mdpi.com/2079-9292/13/23/4768 </t>
  </si>
  <si>
    <t>TinyML-based gas leakage detection using thermal imaging on Arduino Nano 33 BLE Sense, with quantized MobileNetV1 and EfficientNet-B0 deployed on-device; reports testing accuracy, inference time, peak RAM usage, and flash footprint.</t>
  </si>
  <si>
    <t>S509</t>
  </si>
  <si>
    <t>T0043</t>
  </si>
  <si>
    <t>("mmWave" OR PIR OR CO2) AND occupancy AND ("Cortex-M" OR ESP32) AND ("model size" OR flash OR RAM)</t>
  </si>
  <si>
    <t>26/03/2026</t>
  </si>
  <si>
    <t>Passes criteria. Deployed physically on ESP32 nodes and validates the multi-task learning models with actual embedded hardware metrics.</t>
  </si>
  <si>
    <t>https://www.researchgate.net/publication/400087659_Joint_Contactless_Temperature_Humidity_and_Occupancy_Sensing_via_Wi-Fi_Channel_State_Information_on_ESP32_Nodes_Joint_Contactless_Temperature_Humidity_and_Occupancy_Sensing_via_Wi-Fi_Channel_State_Inf</t>
  </si>
  <si>
    <t>ESP32-based smart-building sensing framework that jointly estimates temperature, humidity, and occupancy from Wi-Fi CSI with on-device inference; reports temperature/humidity error, occupancy F1, inference latency (47 ms), and memory footprint (&lt;100 kB flash, &lt;80 kB SRAM).</t>
  </si>
  <si>
    <t>S510</t>
  </si>
  <si>
    <t>T0044</t>
  </si>
  <si>
    <t>The paper explicitly benchmarks models on various microcontrollers and variants of arduino</t>
  </si>
  <si>
    <t>https://ieeexplore.ieee.org/abstract/document/9964383</t>
  </si>
  <si>
    <t>Smart-building occupancy counting from low-resolution thermal images using a quantized U-Net-like CNN, benchmarked across resource-constrained hardware including Arduino Nano 33 BLE Sense, ESP32, and STM32 platforms; reports counting accuracy, inference time, model size, and power/energy consumption.</t>
  </si>
  <si>
    <t>S511</t>
  </si>
  <si>
    <t>T0045</t>
  </si>
  <si>
    <t>("fire detection" OR smoke OR TVOC OR eCO2) AND ("microcontroller" OR "Cortex-M") AND (quantized OR INT8) AND latency</t>
  </si>
  <si>
    <t>Passes all criteria. Real physical deployment on an Arduino Nano 33 BLE Sense using multi-sensor fusion, and properly reports hardware metrics.</t>
  </si>
  <si>
    <t>https://ieeexplore.ieee.org/stamp/stamp.jsp?tp=&amp;arnumber=11282020</t>
  </si>
  <si>
    <t>IoT and TinyML fire detection system deployed on Arduino Nano 33 BLE Sense with multisensor fusion (CO, CO2, temperature, GPS); reports validation/deployment accuracy, inference latency, RAM and flash usage, supporting low-power edge deployment for fire monitoring.</t>
  </si>
  <si>
    <t>S512</t>
  </si>
  <si>
    <t>T0046</t>
  </si>
  <si>
    <t>ACM Digital Library</t>
  </si>
  <si>
    <t>Caught a duplicate! This is the exact same ACM paper you already screened earlier and added to the VIP list as T0029.</t>
  </si>
  <si>
    <t>https://dl.acm.org/doi/epdf/10.1145/3582433</t>
  </si>
  <si>
    <t>Same as above.</t>
  </si>
  <si>
    <t>S513</t>
  </si>
  <si>
    <t>T0126</t>
  </si>
  <si>
    <t>("smart building") AND (reliability OR "message delivery" OR "packet loss" OR uptime) AND (MQTT OR gateway) AND ("on-device" OR microcontroller)</t>
  </si>
  <si>
    <t>It is a survey paper focusing on communication protocols, lacking a novel physical TinyML deployment.</t>
  </si>
  <si>
    <t>https://www.researchgate.net/publication/355844290_Communication_and_Network_Technologies_of_IoT_in_Smart_Building_A_Survey</t>
  </si>
  <si>
    <t>General IoT smart building survey covering communication technologies and applications, but does not address TinyML, on-device deployment, or benchmarking metrics, therefore outside the survey scope.</t>
  </si>
  <si>
    <t>S514</t>
  </si>
  <si>
    <t>T0127</t>
  </si>
  <si>
    <t>("smart building") AND ("large-scale deployment" OR "building-wide" OR "campus-wide") AND (nodes OR devices OR sensors) AND(on-device OR microcontroller)</t>
  </si>
  <si>
    <t>Traditional IoT sensor system. Fails to mention or deploy any Machine Learning or TinyML models on the edge.</t>
  </si>
  <si>
    <t>https://ieeexplore.ieee.org/abstract/document/11399311</t>
  </si>
  <si>
    <t>Smart environmental and safety monitoring system using Arduino Mega, ESP32, CANBus, and MQTT with real-time dashboarding, but it does not implement TinyML or on-device machine learning, so it falls outside the TinyML smart-building corpus despite reporting communication reliability and latency metrics.</t>
  </si>
  <si>
    <t>S515</t>
  </si>
  <si>
    <t>T0085</t>
  </si>
  <si>
    <t>("indoor air quality" OR IAQ OR CO2 OR TVOC OR PM2.5) AND ("TFLite Micro" OR TinyML OR "CMSIS-NN") AND (microcontroller OR "Cortex-M" OR ESP32 OR STM32) AND (RAM OR flash OR latency OR power OR energy)</t>
  </si>
  <si>
    <t>This is a conference paper that uses arduino mega with MQTT</t>
  </si>
  <si>
    <t>https://link.springer.com/chapter/10.1007/978-3-032-13006-8_41</t>
  </si>
  <si>
    <t>S516</t>
  </si>
  <si>
    <t>T0086</t>
  </si>
  <si>
    <t>("smart building" OR HVAC OR occupancy OR IAQ OR "fire detection" OR "gas leak") AND microcontroller AND (flash OR RAM) AND ("inference time" OR latency OR power OR energy) AND (quantized OR INT8 OR TinyML OR "TFLite Micro")</t>
  </si>
  <si>
    <t>Passes criteria. Physically deploys the FLARE architecture on an STM32 MCU for thermal object detection, and explicitly reports on Flash/RAM footprint reductions and inference times.</t>
  </si>
  <si>
    <t>https://ieeexplore.ieee.org/stamp/stamp.jsp?tp=&amp;arnumber=10982063</t>
  </si>
  <si>
    <t>Thermal-camera-based occupancy/object detection for smart ventilation, with a lightweight FLARE model deployed on STM32 MCU; reports mAP, flash usage, RAM usage, inference time, and MACs, directly supporting embedded smart-building ventilation control</t>
  </si>
  <si>
    <t>S517</t>
  </si>
  <si>
    <t>T0087</t>
  </si>
  <si>
    <t>Fails the strict metrics rule. While it deploys a YOLOv8-derived model on an endpoint chip and measures latency (46 ms/21 ms), it relies on theoretical FLOPs and fails to report a second physically measured hardware constraint (like memory footprint or power/energy).</t>
  </si>
  <si>
    <t>https://link.springer.com/article/10.1007/s11554-024-01605-7</t>
  </si>
  <si>
    <t>Low-power endpoint fire detection algorithm evaluated on an embedded T41 chip with NPU and reporting latency, mAP, and quantized INT8 deployment performance; included for smart-building safety relevance, though the target platform is an endpoint SoC rather than a strict MCU-class TinyML device.</t>
  </si>
  <si>
    <t>S518</t>
  </si>
  <si>
    <t>T0088</t>
  </si>
  <si>
    <t>Excellent paper. Physically deployed on an Arduino Nano 33 BLE Sense and Raspberry Pi Pico. Thoroughly evaluates hardware constraints, reporting sub-kilobyte memory footprints and explicit energy per inference metrics.</t>
  </si>
  <si>
    <t>https://link.springer.com/article/10.1007/s43621-026-02591-5</t>
  </si>
  <si>
    <t>Tiny deep learning–based occupancy detection for smart buildings deployed on MCU-class devices (Arduino Nano 33 BLE Sense, Raspberry Pi Pico), reporting accuracy, model size (~42 kB), latency (~0.32 ms), and energy per inference, supporting energy-efficient HVAC control in smart-building settings</t>
  </si>
  <si>
    <t>S519</t>
  </si>
  <si>
    <t>T0099</t>
  </si>
  <si>
    <t>Smart Home</t>
  </si>
  <si>
    <t>Absolute gold standard. Physically deployed on an Arduino Nano 33 IoT. Explicitly reports the inference time (275 ms), average power consumption (16 mW), and SRAM usage (26 KB).</t>
  </si>
  <si>
    <t>https://www.researchgate.net/publication/395280133_TinyML-Based_Real-Time_Doorway_Activity_Recognition_with_a_Time-of-Flight_Sensor</t>
  </si>
  <si>
    <t>TinyML-based real-time doorway activity recognition using a single Time-of-Flight sensor and Arduino Nano 33 IoT, reporting accuracy (&gt;95%), inference time (~275 ms), power consumption (~16 mW), and SRAM usage (~26 KB) for embedded smart-environment occupancy/access monitoring.</t>
  </si>
  <si>
    <t>S520</t>
  </si>
  <si>
    <t>T0122</t>
  </si>
  <si>
    <t xml:space="preserve"> Doorway Activity Recognition AND microcontroller </t>
  </si>
  <si>
    <t>Traditional IoT project trap! It uses an Arduino Uno and an off-the-shelf FPM10A fingerprint module, but it does not deploy any Machine Learning or TinyML models on the edge.</t>
  </si>
  <si>
    <t>https://ieeexplore.ieee.org/abstract/document/9530806</t>
  </si>
  <si>
    <t>Smart door lock prototype built on Arduino Uno with fingerprint, PIR, ESP8266, relay, and Telegram notification, but the contribution is an IoT access-control/security system rather than a TinyML or embedded ML deployment paper, and the reported evaluation focuses on functional testing and network QoS only.</t>
  </si>
  <si>
    <t>S521</t>
  </si>
  <si>
    <t>T0123</t>
  </si>
  <si>
    <t>("thermal camera" OR MLX90640 OR "low resolution thermal") AND (occupancy OR ventilation OR "fire detection" OR smoke) AND (STM32 OR "Cortex-M7" OR ESP32) AND ("TFLite Micro" OR TinyML) AND (flash OR RAM OR latency)</t>
  </si>
  <si>
    <t>Passes criteria. Deploys YOLO object detection models on constrained embedded platforms including the ESP32-CAM microcontroller, successfully reporting the model size (2.6 MB) and performing inference speed tests.</t>
  </si>
  <si>
    <t>https://www.researchgate.net/publication/394131540_Implementation_of_visual_people_counting_algorithms_in_embedded_systems</t>
  </si>
  <si>
    <t>Embedded visual people-counting/occupancy-detection study for smart-building HVAC optimization, benchmarking YOLO-based models across ESP32-CAM, Raspberry Pi Zero 2 W, and Luckfox Pico Mini A; reports accuracy (AP50/AP50-95), model size, and inference time, but much of the work is a comparative feasibility study rather than a finalized low-cost MCU-only deployment.</t>
  </si>
  <si>
    <t>S522</t>
  </si>
  <si>
    <t>T0124</t>
  </si>
  <si>
    <t>("demand-controlled ventilation" OR ventilation OR CO2) AND ("on-device" OR "edge inference") AND (ESP32 OR STM32 OR "Cortex-M") AND (latency OR "inference time" OR RAM OR flash OR power)</t>
  </si>
  <si>
    <t>Fails the metrics rule. It deploys a logistic regression TinyML model on an ESP32 for air pollution prediction, but the authors fail to report the required physical hardware constraints (no memory footprint, inference latency, or energy consumption data is provided).</t>
  </si>
  <si>
    <t>https://www.researchgate.net/publication/399939271_Design_and_Implementation_of_a_Low-Cost_Device_to_Monitor_the_Real-Time_Presence_of_CO_and_CO2_in_Ambient_Air_and_Prediction_of_its_Pollution_Level_using_TinyML</t>
  </si>
  <si>
    <t>ESP32-based TinyML air-quality monitoring system using MQ5/MQ135 sensors and embedded logistic-regression inference to predict pollution classes from CO and CO₂ levels, with reported accuracy and memory usage, but the paper’s application is ambient pollution monitoring rather than smart-building/fleet operations.</t>
  </si>
  <si>
    <t>S523</t>
  </si>
  <si>
    <t>T0151</t>
  </si>
  <si>
    <t>"ESP32" "ml" "fire detection""building"</t>
  </si>
  <si>
    <t>The computer vision inference (OpenCV, NumPy, Flask) is performed on a server/workstation; the ESP32 is used only as a communication gateway/actuator. Fails strictly MCU-class hardware scope.</t>
  </si>
  <si>
    <t>https://ieeexplore.ieee.org/abstract/document/11378822?casa_token=iFoGwT7l3d0AAAAA:L5EHhaM9M1ZXQOgocAR6pLt_RfB3ozM7JmH35u02e0cJ-nhfOGfwN8QG-IqCRL533Tnr1GOH-g</t>
  </si>
  <si>
    <t>ESP32 is used only as a communication gateway violates the mcu-class deployment constraint</t>
  </si>
  <si>
    <t>S524</t>
  </si>
  <si>
    <t>T0128</t>
  </si>
  <si>
    <t>"ESP32" "ml" "gas leak detection""building"</t>
  </si>
  <si>
    <t>Although it mentions ML and ESP32, the paper fails to report at least two required TinyML performance metrics (Latency, Energy, or Memory) for the on-device inference.</t>
  </si>
  <si>
    <t>https://ieeexplore.ieee.org/abstract/document/11307621</t>
  </si>
  <si>
    <t>This paper doesnt report at least 2 deployment specific metrics required for qualification.</t>
  </si>
  <si>
    <t>S525</t>
  </si>
  <si>
    <t>T0129</t>
  </si>
  <si>
    <t>Focused on kitchen materials and cooking-related hazards rather than building-scale functions like occupancy/HVAC/IAQ management or building monitoring infrastructure.</t>
  </si>
  <si>
    <t>https://www.sciencedirect.com/science/article/pii/S2542660524003378</t>
  </si>
  <si>
    <t>ML decision-making is not executed on the MCU/end device, which fails the deployment-centered criteria.</t>
  </si>
  <si>
    <t>S526</t>
  </si>
  <si>
    <t>T0130</t>
  </si>
  <si>
    <t>Describes a standard IoT sensor node using ESP32 to transmit raw gas and environmental data via LoRa. It lacks on-device Machine Learning/TinyML inference on the edge.</t>
  </si>
  <si>
    <t>https://ieeexplore.ieee.org/abstract/document/10993435?casa_token=ABkB-T4AqxQAAAAA:0i3lgBpF3ZBR6m9uuBGXVVdk0OIwYDjh5REg6nifn7Pcpgv62xEtuNcQ-xAgoAwZ7M5_IV2mMA</t>
  </si>
  <si>
    <t xml:space="preserve">Doesnt perform on-device deployment </t>
  </si>
  <si>
    <t>S527</t>
  </si>
  <si>
    <t>T0131</t>
  </si>
  <si>
    <t>"ESP32" "ml" "room occupancy""building"</t>
  </si>
  <si>
    <t>While relevant to buildings, the study focuses on occupancy dynamics and BEMS regulation strategies without implementing or reporting TinyML-specific metrics (on-device latency/energy) on MCU-class hardware.</t>
  </si>
  <si>
    <t>https://ieeexplore.ieee.org/abstract/document/11410447?casa_token=RNmurrfDo-MAAAAA:yhdxwPsa8tAv1UDxgendNKFnrOVpM8N_uWh8exJclFGZkskQLyNN0f7P3wutlH1dhac54dE6Cw</t>
  </si>
  <si>
    <t>Fails the metrics rule.doesnt report at least 2 deployment specific metrics required for qualification</t>
  </si>
  <si>
    <t>S528</t>
  </si>
  <si>
    <t>T0132</t>
  </si>
  <si>
    <t>This is a full conference proceedings volume (proceedings book), not an individual research paper focusing on TinyML implementations for Smart Buildings.</t>
  </si>
  <si>
    <t>https://link.springer.com/chapter/10.1007/978-3-031-25825-1_3</t>
  </si>
  <si>
    <t>Model evaluation appears simulation or platform-level without measured MCU inference latency, RAM/Flash usage, or hardware-constrained benchmarking.</t>
  </si>
  <si>
    <t>S529</t>
  </si>
  <si>
    <t>T0133</t>
  </si>
  <si>
    <t>This paper is a generic TinyML systems/optimization contribution and is not framed around a smart-building task</t>
  </si>
  <si>
    <t>https://www.researchgate.net/profile/Bharath-Sudharsan/publication/356235033_An_SRAM_Optimized_Approach_for_Constant_Memory_Consumption_and_Ultra-fast_Execution_of_ML_Classifiers_on_TinyML_Hardware/links/619a93ad07be5f31b7a6d20a/An-SRAM-Optimized-Approach-for-Constant-Memory-Consumption-and-Ultra-fast-Execution-of-ML-Classifiers-on-TinyML-Hardware.pdf</t>
  </si>
  <si>
    <t>Even though it targets MCU hardware, its contribution is deployment technique/engine-level optimization</t>
  </si>
  <si>
    <t>S530</t>
  </si>
  <si>
    <t>T0134</t>
  </si>
  <si>
    <t>The paper is explicitly positioned as an industrial surveillance / enterprise fire detection system using video stream analysis</t>
  </si>
  <si>
    <t>https://www.researchgate.net/profile/Mehtab-Khan-14/publication/391147642_Design_and_Implementation_of_an_ESP32-Based_Intelligent_Industrial_Surveillance_System_for_Real-Time_Fire_Detection_BlackBook_Final_Year_Engineering_Project/links/680b63f9df0e3f544f495c48/Design-and-Implementation-of-an-ESP32-Based-Intelligent-Industrial-Surveillance-System-for-Real-Time-Fire-Detection-BlackBook-Final-Year-Engineering-Project.pdf</t>
  </si>
  <si>
    <t>These do not report rigorous MCU deployment metrics (platform + ≥2 of latency/energy/memory for on-device inference)</t>
  </si>
  <si>
    <t>Datasets/Benchmarking</t>
  </si>
  <si>
    <t>S601</t>
  </si>
  <si>
    <t>T0021</t>
  </si>
  <si>
    <t>"TinyML benchmarking" MCU latency energy memory IEEE</t>
  </si>
  <si>
    <t>Introduces TinyML benchmarking methodology for MCU-class devices. Provides phase-separated measurements (pre/inference/post). The paper evaluates its methodology using the standard MLPerf Tiny benchmark suite.</t>
  </si>
  <si>
    <t>https://ieeexplore.ieee.org/abstract/document/11228997?casa_token=d8dkyKdaNDAAAAAA:OMW0bg7kNp6ORHaVSpJI7NA_sqTdEqZn3fmLwXrLrtOrqPUQWRKto0vwCv3QaAwDmd9Ce66qdA</t>
  </si>
  <si>
    <t>S602</t>
  </si>
  <si>
    <t>Proposes TinyML benchmarking methodology with detailed energy/latency measurement on MCU (STM32) and uses standard datasets (MLPerf tasks)</t>
  </si>
  <si>
    <t>S603</t>
  </si>
  <si>
    <t>T0026</t>
  </si>
  <si>
    <t>Systematic survey analyzing 30 publicly available datasets across RF, audio, vision, IoT, and wireless domains. Uses PRISMA-style selection and structured benchmarking dimensions aligned with 6G edge constraints.</t>
  </si>
  <si>
    <t>https://ieeexplore.ieee.org/abstract/document/11373387</t>
  </si>
  <si>
    <t>S604</t>
  </si>
  <si>
    <t>Comprehensive survey and benchmarking of 30 TinyML datasets with clear selection methodology and relevance to edge/consumer IoT scenarios</t>
  </si>
  <si>
    <t>S605</t>
  </si>
  <si>
    <t>T0022</t>
  </si>
  <si>
    <t>arXiv (heavily cited)</t>
  </si>
  <si>
    <t>"TinyML benchmarking" Cortex-M energy latency</t>
  </si>
  <si>
    <t>Proposes TinyMLPerf, a standardized benchmarking suite for MCU-class TinyML systems. It mainly defines four benchmark tasks (audio wake words, visual wake words, image classification, anomaly detection) also estabilishes a structured evaluation strategy.</t>
  </si>
  <si>
    <t>https://arxiv.org/abs/2003.04821</t>
  </si>
  <si>
    <t>S606</t>
  </si>
  <si>
    <t>Foundational TinyML benchmarking paper defining datasets, use cases, and evaluation challenges; directly relevant to benchmarking frameworks</t>
  </si>
  <si>
    <t>S607</t>
  </si>
  <si>
    <t>T0121</t>
  </si>
  <si>
    <t>TinyML Audio / Keyword Spotting</t>
  </si>
  <si>
    <t>TinyML speech commands dataset microcontroller keyword spotting</t>
  </si>
  <si>
    <t>Introduces the Speech Commands dataset, one of the most widely used benchmark datasets for TinyML keyword spotting. Provides baseline models and public checkpoints, allowing cross-paper comparability and hardware benchmarking. Published in 2018 and falls outside the 2020+ recency window</t>
  </si>
  <si>
    <t>https://arxiv.org/abs/1804.03209</t>
  </si>
  <si>
    <t>S608</t>
  </si>
  <si>
    <r>
      <rPr>
        <rFont val="Arial"/>
        <color theme="1"/>
      </rPr>
      <t xml:space="preserve">Provides widely used open-source keyword spotting dataset with defined evaluation protocols and on-device relevance for TinyML benchmarking. </t>
    </r>
    <r>
      <rPr>
        <rFont val="Arial"/>
        <b/>
        <color theme="1"/>
      </rPr>
      <t>It is out of the date range but this dataset benchmarking is important in tinyml context.</t>
    </r>
  </si>
  <si>
    <t>S609</t>
  </si>
  <si>
    <t>T0023</t>
  </si>
  <si>
    <t>Wireless Edge / IoT ML</t>
  </si>
  <si>
    <t>IEEE Access</t>
  </si>
  <si>
    <t>large scale RF fingerprinting dataset public WiFi edge machine learning benchmarking</t>
  </si>
  <si>
    <t>This paper introduces WiSig, a publicly available, large-scale RF signal dataset mainly used in the context of wireless IoT. It is explicitly a benchmark dataset paper and allows generalization across receivers and days.
It includes dataset splits and analysis of imbalance also.</t>
  </si>
  <si>
    <t>https://ieeexplore.ieee.org/abstract/document/9721895</t>
  </si>
  <si>
    <t>S610</t>
  </si>
  <si>
    <t>Large-scale publicly available RF signal dataset (WiSig) with detailed benchmarking setup, multiple receivers/days, and evaluation protocols suitable for reproducible research in wireless ML and TinyML contexts</t>
  </si>
  <si>
    <t>S611</t>
  </si>
  <si>
    <t>T0135</t>
  </si>
  <si>
    <t>Internet of Things (Elsevier), 2023</t>
  </si>
  <si>
    <t>IoT on-device machine learning energy consumption intrusion detection TinyML benchmarking</t>
  </si>
  <si>
    <t>The paper is about energy analysis of various ML strategies and not dataset/benchmark development. Uses an existing dataset but does not contribute a new dataset, no benchmark protocol or reusable evaluation framework introduced.</t>
  </si>
  <si>
    <t>https://www.sciencedirect.com/science/article/pii/S2542660522001512?casa_token=GATDh7pOmbAAAAAA:IUKCKZId48p1IheX8ErSWjFoFTeaYjHQQnqXv7rFrud3DRxQ0JYD8bI5o3h587UXpbzDwRPCyA</t>
  </si>
  <si>
    <t>S612</t>
  </si>
  <si>
    <t>Focuses on IoT intrusion detection and energy consumption of ML models (security/network domain), not Human Activity Recognition (HAR) or Personal IoT sensing tasks; although TinyML is mentioned for inference, the core application domain is cybersecurity IDS rather than behavioral sensing</t>
  </si>
  <si>
    <t>S613</t>
  </si>
  <si>
    <t>T0024</t>
  </si>
  <si>
    <t>IEEE CAMAD</t>
  </si>
  <si>
    <t>Edge IoT dataset benchmark</t>
  </si>
  <si>
    <t>It contributes dataset restructuring methodology and  improves benchmark usability by class balancing. It documents dataset splits and also addresses dataset quality issues (imbalance).</t>
  </si>
  <si>
    <t>https://ieeexplore.ieee.org/abstract/document/9617799?casa_token=XON4L9gADgAAAAAA:48-iJGiA8M6_Z9xWALaI7hkNorX68NnX8ZHcGgmuaXO1x1C7UAk40wLqc02Wg3fOp1iTvfMT0g</t>
  </si>
  <si>
    <t>S614</t>
  </si>
  <si>
    <t>Provides IoT dataset generation and restructuring methodology (TON_IoT-based), including class balancing and improved benchmark usability with documented splits and quality handling</t>
  </si>
  <si>
    <t>S615</t>
  </si>
  <si>
    <t>T0025</t>
  </si>
  <si>
    <t>"TinyML benchmark microcontrollers latency memory"</t>
  </si>
  <si>
    <t>Provides systematic benchmarking across 7 MCU boards. Evaluates inference latency, SRAM, Flash memory, and compilation time. Uses standardized NN architectures across multiple datasets. Focus is hardware-level benchmarking, not dataset design.</t>
  </si>
  <si>
    <t>https://ieeexplore.ieee.org/abstract/document/9595024?casa_token=l1aVnDP7c_EAAAAA:SK8LTsrc-clL1yCZtskr8tbUXB9ubNozuUmAJ8tzmsMHslqC96GpKbOqAXmbMJQdB-ZlwwcB0A</t>
  </si>
  <si>
    <t>S616</t>
  </si>
  <si>
    <t>TinyML benchmarking across multiple MCUs with datasets, reporting latency, memory, and accuracy; includes open benchmark suite for reproducible IoT edge evaluation</t>
  </si>
  <si>
    <t>S617</t>
  </si>
  <si>
    <t>T0079</t>
  </si>
  <si>
    <t>IoT / TinyML Benchmarking</t>
  </si>
  <si>
    <t>MLPerf Tiny benchmark MCU latency energy</t>
  </si>
  <si>
    <t>28/03/2026</t>
  </si>
  <si>
    <t xml:space="preserve">It is an industry-standard benchmark suite with four tasks: Keyword Spotting, Visual Wake Words, Image Classification, and Anomaly Detection. It also documents a measurement procedure for latency and energy (including µJ per inference) </t>
  </si>
  <si>
    <t>https://arxiv.org/abs/2106.07597</t>
  </si>
  <si>
    <t>Defines MLPerf Tiny, a standardized open-source benchmark suite with datasets, models, and metrics (accuracy, latency, energy) for evaluating TinyML systems across IoT hardware</t>
  </si>
  <si>
    <t>S618</t>
  </si>
  <si>
    <t>T0080</t>
  </si>
  <si>
    <t>tinyml benchmarking mcu platforms</t>
  </si>
  <si>
    <t>Benchmarking study comparing TinyML platforms and frameworks on MCUs; reports performance and energy; limited standardization; not top-tier venue</t>
  </si>
  <si>
    <r>
      <rPr>
        <rFont val="Arial"/>
        <color rgb="FF1155CC"/>
        <sz val="10.0"/>
        <u/>
      </rPr>
      <t>https://doi.org/10.1007/978-3-030-95498-7_20</t>
    </r>
    <r>
      <rPr>
        <rFont val="Arial"/>
        <color rgb="FF000000"/>
        <sz val="10.0"/>
      </rPr>
      <t xml:space="preserve"> </t>
    </r>
  </si>
  <si>
    <t>Benchmarks ML models on edge devices with emphasis on energy consumption, providing relevant evaluation methodology for TinyML systems</t>
  </si>
  <si>
    <t>S619</t>
  </si>
  <si>
    <t>T0081</t>
  </si>
  <si>
    <t>NeurIPS</t>
  </si>
  <si>
    <t>TinyML benchmarking MCU latency energy</t>
  </si>
  <si>
    <t>NeurIPS paper proposing MCU benchmarking via MCUNet and TinyEngine; includes real hardware evaluation</t>
  </si>
  <si>
    <r>
      <rPr>
        <rFont val="Arial"/>
        <color rgb="FF1155CC"/>
        <sz val="10.0"/>
        <u/>
      </rPr>
      <t>https://proceedings.neurips.cc/paper/2020/hash/86c51678350f656dcc7f490a43946ee5-Abstract.html</t>
    </r>
    <r>
      <rPr>
        <rFont val="Arial"/>
        <color rgb="FF000000"/>
        <sz val="10.0"/>
      </rPr>
      <t xml:space="preserve"> </t>
    </r>
  </si>
  <si>
    <t>Uses standard datasets (ImageNet, Speech Commands, VWW) only for evaluation; main contribution is model/system design (MCUNet), performs comparative benchmarking</t>
  </si>
  <si>
    <t>S620</t>
  </si>
  <si>
    <t>T0082</t>
  </si>
  <si>
    <t>TinyML review datasets devices benchmarking IoT</t>
  </si>
  <si>
    <t>Survey paper on TinyML covering models datasets devices frameworks and limitations. Note it is not a primary benchmark paper.</t>
  </si>
  <si>
    <r>
      <rPr>
        <rFont val="Arial"/>
        <color rgb="FF1155CC"/>
        <sz val="10.0"/>
        <u/>
      </rPr>
      <t>https://doi.org/10.3390/mi13060851</t>
    </r>
    <r>
      <rPr>
        <rFont val="Arial"/>
        <color rgb="FF000000"/>
        <sz val="10.0"/>
      </rPr>
      <t xml:space="preserve"> </t>
    </r>
  </si>
  <si>
    <t>Survey paper on TinyML models and datasets</t>
  </si>
  <si>
    <t>S621</t>
  </si>
  <si>
    <t>T0136</t>
  </si>
  <si>
    <t xml:space="preserve">TinyML review datasets </t>
  </si>
  <si>
    <t>Conceptual discussion only. The paper does not include any experimental evaluation, dataset benchmarking, or reported metrics.</t>
  </si>
  <si>
    <t>https://ieeexplore.ieee.org/abstract/document/11373387?casa_token=zCM-qXsEn5sAAAAA:PS7BvtBL0n-sCNVjVhkPbK3BVIHpKwZOQYXTbVX0pmD8oS4RNEHedgLRCDCBvKFeSaupjEFjNg</t>
  </si>
  <si>
    <t>Focuses on high-level dataset challenges for TinyML in 6G, but lacks quantitative analysis or implementation on real datasets or devices.</t>
  </si>
  <si>
    <t>S622</t>
  </si>
  <si>
    <t>T0142</t>
  </si>
  <si>
    <t>MLonMCU TinyML benchmarking retargeting TFLM TVM MCU</t>
  </si>
  <si>
    <t>Proposes MLonMCU framework for automated TinyML benchmarking across frameworks and MCU targets. Evaluates TFLM and TVM using MLPerf Tiny workloads and reports inference time memory and code overhead. Strong relevance to benchmarking methodology and tooling.</t>
  </si>
  <si>
    <t>https://doi.org/10.1145/3615338.3618128</t>
  </si>
  <si>
    <t>Focuses on end to end benchmarking automation and cross platform evaluation. Provides comparative insights between frameworks and highlights deployment constraints on MCUs. Limitation is lack of energy measurements and workshop scope but still valuable for benchmarking taxonomy.</t>
  </si>
  <si>
    <t>S623</t>
  </si>
  <si>
    <t>T0143</t>
  </si>
  <si>
    <t>Measuring what Really Matters optimizing neural networks for TinyML latency energy Cortex-M</t>
  </si>
  <si>
    <t>Studies perceptible TinyML metrics directly on ARM Cortex-M MCUs, with emphasis on inference latency and energy rather than only proxy metrics such as MACCs/FLOPs. Strong fit for benchmarking and optimization methodology in TinyML.</t>
  </si>
  <si>
    <r>
      <rPr>
        <rFont val="Arial"/>
        <color rgb="FF1155CC"/>
        <sz val="10.0"/>
        <u/>
      </rPr>
      <t>https://arxiv.org/abs/2104.10645</t>
    </r>
    <r>
      <rPr>
        <rFont val="Arial"/>
        <color rgb="FF000000"/>
        <sz val="10.0"/>
      </rPr>
      <t xml:space="preserve"> </t>
    </r>
  </si>
  <si>
    <t>Proposes an implementation-aware benchmarking toolchain and provides empirical analysis of quantization, CMSIS-NN, layer types, and MCU-specific trade-offs. Valuable for S6 because it connects benchmarking methodology with deployment-relevant latency and energy behavior.      Important limitation: it is not an application-specific IoT deployment paper. It is a general TinyML benchmarking/optimization paper using LeNet and ResNet as experimental networks, so later you should mention that it supports the benchmarking section more than the IoT application synthesis section.</t>
  </si>
  <si>
    <t>S624</t>
  </si>
  <si>
    <t>T0144</t>
  </si>
  <si>
    <t>Benchmarking in-sensor machine learning computing MLCommons Tiny extension QAT PTQ ISPU</t>
  </si>
  <si>
    <t>Proposes a benchmark extension specifically for in-sensor ML computing with ultra-low memory constraints. Strong relevance to benchmarking methodology because it compares QAT and PTQ and reports accuracy memory and latency across multiple use cases.</t>
  </si>
  <si>
    <r>
      <rPr>
        <rFont val="Arial"/>
        <color rgb="FF1155CC"/>
        <sz val="10.0"/>
        <u/>
      </rPr>
      <t>https://doi.org/10.3390/info15110674</t>
    </r>
    <r>
      <rPr>
        <rFont val="Arial"/>
        <sz val="10.0"/>
      </rPr>
      <t xml:space="preserve"> </t>
    </r>
  </si>
  <si>
    <t>Relevant C06 paper focused on performance characterization for intelligent sensors rather than standard MCU-only TinyML. Valuable because it introduces benchmark requirements for 8 KiB data SRAM and 32 KiB program SRAM and shows which model families can satisfy them. Main limitation to note later: this is not classic MCU benchmarking. It targets in-sensor DSP / ISPU-class computing, which is still relevant to TinyML benchmarking, but slightly outside the usual MCU-only setting.</t>
  </si>
  <si>
    <t>S625</t>
  </si>
  <si>
    <t>T0145</t>
  </si>
  <si>
    <t xml:space="preserve">Elsevier </t>
  </si>
  <si>
    <t>edge ML benchmarking tool latency memory energy MLinoBench</t>
  </si>
  <si>
    <t>Introduces a benchmarking framework for evaluating ML models on edge devices with emphasis on latency memory and energy. Fits directly within benchmarking/system evaluation scope.</t>
  </si>
  <si>
    <r>
      <rPr>
        <rFont val="Arial"/>
        <color rgb="FF1155CC"/>
        <sz val="10.0"/>
        <u/>
      </rPr>
      <t>https://www.sciencedirect.com/science/article/pii/S1383762124001991?via%3Dihub</t>
    </r>
    <r>
      <rPr>
        <rFont val="Arial"/>
        <sz val="10.0"/>
      </rPr>
      <t xml:space="preserve"> </t>
    </r>
  </si>
  <si>
    <t>Relevant C06 paper focusing on cross-platform benchmarking methodology rather than a specific dataset. Useful for comparing deployment performance across hardware targets.Important limitations:
It focuses on classification time and model size, but does not provide energy as a main measured metric in the evaluation.
It is more general edge-device benchmarking than strictly TinyML MCU benchmarking under a formal MCU-only boundary, even though the tested platforms are MCUs and resource-constrained boards.
The tool’s fully automated pipeline is limited to certain supported platforms, with some other platforms needing manual integration.</t>
  </si>
  <si>
    <t>S626</t>
  </si>
  <si>
    <t>T0146</t>
  </si>
  <si>
    <t>TinyML benchmarking MCU latency energy dataset</t>
  </si>
  <si>
    <t>Paper does not demonstrate deployment on MCU-class hardware and appears to rely on general-purpose compute platforms. Therefore, it falls outside the TinyML platform scope.</t>
  </si>
  <si>
    <r>
      <rPr>
        <rFont val="Arial"/>
        <color rgb="FF1155CC"/>
        <sz val="10.0"/>
        <u/>
      </rPr>
      <t>https://arxiv.org/abs/2206.11791</t>
    </r>
    <r>
      <rPr>
        <rFont val="Arial"/>
        <sz val="10.0"/>
      </rPr>
      <t xml:space="preserve"> </t>
    </r>
  </si>
  <si>
    <t>Although relevant to ML/IoT tasks, the work lacks evidence of execution on resource-constrained microcontrollers. Platform is not aligned with TinyML requirements.</t>
  </si>
  <si>
    <t>S627</t>
  </si>
  <si>
    <t>T0147</t>
  </si>
  <si>
    <t>EdgeMark automation benchmarking embedded artificial intelligence tools TFLM Edge Impulse Ekkono Renesas</t>
  </si>
  <si>
    <t>Strong C06 paper introducing an automation system for embedded AI benchmarking and comparing multiple deployment tools across models quantization schemes and hardware targets.the paper itself says future work should incorporate energy measurements, so it is strong on latency/memory/tool comparison but not on energy benchmarking yet.</t>
  </si>
  <si>
    <r>
      <rPr>
        <rFont val="Arial"/>
        <color rgb="FF1155CC"/>
        <sz val="10.0"/>
        <u/>
      </rPr>
      <t>https://arxiv.org/abs/2502.01700</t>
    </r>
    <r>
      <rPr>
        <rFont val="Arial"/>
        <sz val="10.0"/>
      </rPr>
      <t xml:space="preserve"> </t>
    </r>
  </si>
  <si>
    <t>Relevant benchmarking framework paper that is broader than single-tool evaluations and useful for discussing reproducibility modularity and trade-offs among embedded AI toolchains.
It focuses on classification time and model size, but does not provide energy as a main measured metric in the evaluation.
It is more general edge-device benchmarking than strictly TinyML MCU benchmarking under a formal MCU-only boundary, even though the tested platforms are MCUs and resource-constrained boards.
The tool’s fully automated pipeline is limited to certain supported platforms, with some other platforms needing manual integration.</t>
  </si>
  <si>
    <t>S628</t>
  </si>
  <si>
    <t>T0148</t>
  </si>
  <si>
    <t>ML</t>
  </si>
  <si>
    <t>ACM</t>
  </si>
  <si>
    <t>ML Benchmarking</t>
  </si>
  <si>
    <t>Paper analyzes existing ML benchmarks (MLPerf, MLMark) across a wide range of platforms including cloud and server systems. It does not introduce a new dataset, benchmark, or TinyML-specific evaluation framework, so it is out of scope for this section.</t>
  </si>
  <si>
    <r>
      <rPr>
        <rFont val="Arial"/>
        <color rgb="FF1155CC"/>
        <sz val="10.0"/>
        <u/>
      </rPr>
      <t>https://dl.acm.org/doi/10.1145/3441250.3441277</t>
    </r>
    <r>
      <rPr>
        <rFont val="Arial"/>
        <sz val="10.0"/>
      </rPr>
      <t xml:space="preserve"> </t>
    </r>
  </si>
  <si>
    <t>Comparative study of existing MLPerf/MLMark benchmark results across broad hardware categories, including servers and cloud accelerators, but does not contribute a new TinyML benchmark, dataset, or MCU-focused benchmarking methodology. Outside the scope of the Datasets/Benchmarking corpus.</t>
  </si>
  <si>
    <t>S629</t>
  </si>
  <si>
    <t>T0149</t>
  </si>
  <si>
    <t>MLSys</t>
  </si>
  <si>
    <t>TensorFlow Lite Benchmarking</t>
  </si>
  <si>
    <t>Core TinyML systems paper introducing TFLM and evaluating its runtime overhead memory footprint and optimized kernel performance on embedded targets. Strong fit for benchmarking and framework evaluation. Main limitation: this is more of a framework/design paper than a pure benchmarking-paper contribution. It evaluates memory and performance well, but it is not itself a new standalone benchmark suite paper like MLPerf Tiny. Still, for your topic, it is definitely relevant.</t>
  </si>
  <si>
    <t xml:space="preserve">https://proceedings.mlsys.org/paper_files/paper/2021/hash/6c44dc73014d66ba49b28d483a8f8b0d-Abstract.html  </t>
  </si>
  <si>
    <t>Relevant C06 paper because it provides a portable TinyML inference framework and reports benchmark results on MCU and DSP hardware while discussing profiling memory planning and interpreter overhead.</t>
  </si>
  <si>
    <t>T0150</t>
  </si>
  <si>
    <t>Introduces MLPerf Power for evaluating energy efficiency across diverse ML systems, including edge and datacenter platforms. However, it is not specific to TinyML or MCU-level deployments, so it is considered out of scope for this section.</t>
  </si>
  <si>
    <r>
      <rPr>
        <rFont val="Arial"/>
        <color rgb="FF1155CC"/>
        <sz val="10.0"/>
        <u/>
      </rPr>
      <t>https://arxiv.org/abs/2410.12032</t>
    </r>
    <r>
      <rPr>
        <rFont val="Arial"/>
        <sz val="10.0"/>
      </rPr>
      <t xml:space="preserve"> </t>
    </r>
  </si>
  <si>
    <t>Paper presents a cross-scale benchmarking methodology rather than a TinyML-focused dataset or MCU benchmarking study. Due to its broad scope beyond resource-constrained devices, it does not align with the Datasets/Benchmarking criteria.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</si>
</sst>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34">
    <font>
      <sz val="10.0"/>
      <color rgb="FF000000"/>
      <name val="Arial"/>
      <scheme val="minor"/>
    </font>
    <font>
      <color theme="1"/>
      <name val="Arial"/>
    </font>
    <font>
      <color theme="1"/>
      <name val="Arial"/>
      <scheme val="minor"/>
    </font>
    <font>
      <u/>
      <color rgb="FF0000FF"/>
    </font>
    <font/>
    <font>
      <u/>
      <color rgb="FF0000FF"/>
    </font>
    <font>
      <color rgb="FF1F1F1F"/>
      <name val="Arial"/>
      <scheme val="minor"/>
    </font>
    <font>
      <u/>
      <color rgb="FF0000FF"/>
    </font>
    <font>
      <u/>
      <color rgb="FF0000FF"/>
    </font>
    <font>
      <u/>
      <color theme="1"/>
      <name val="Arial"/>
    </font>
    <font>
      <u/>
      <color rgb="FF000000"/>
      <name val="Arial"/>
    </font>
    <font>
      <u/>
      <color theme="1"/>
      <name val="Arial"/>
    </font>
    <font>
      <u/>
      <color theme="1"/>
      <name val="Arial"/>
    </font>
    <font>
      <u/>
      <color rgb="FF0000FF"/>
    </font>
    <font>
      <u/>
      <color rgb="FF0000FF"/>
    </font>
    <font>
      <u/>
      <color rgb="FF0000FF"/>
    </font>
    <font>
      <b/>
      <color theme="1"/>
      <name val="Arial"/>
    </font>
    <font>
      <u/>
      <color rgb="FF0000FF"/>
    </font>
    <font>
      <u/>
      <color rgb="FF0000FF"/>
    </font>
    <font>
      <color rgb="FF1F1F1F"/>
      <name val="&quot;Google Sans Text&quot;"/>
    </font>
    <font>
      <color rgb="FF444746"/>
      <name val="&quot;Google Sans Text&quot;"/>
    </font>
    <font>
      <u/>
      <color rgb="FF0000FF"/>
    </font>
    <font>
      <color rgb="FF000000"/>
      <name val="Arial"/>
      <scheme val="minor"/>
    </font>
    <font>
      <u/>
      <color rgb="FF0000FF"/>
      <name val="Arial"/>
    </font>
    <font>
      <u/>
      <color rgb="FF0000FF"/>
      <name val="Arial"/>
    </font>
    <font>
      <u/>
      <color rgb="FF1155CC"/>
      <name val="Arial"/>
    </font>
    <font>
      <color rgb="FF000000"/>
      <name val="Arial"/>
    </font>
    <font>
      <color rgb="FF000000"/>
      <name val="&quot;Google Sans Text&quot;"/>
    </font>
    <font>
      <b/>
      <color rgb="FF1F1F1F"/>
      <name val="&quot;Google Sans Text&quot;"/>
    </font>
    <font>
      <u/>
      <color rgb="FF0000FF"/>
      <name val="Arial"/>
    </font>
    <font>
      <sz val="10.0"/>
      <color rgb="FF000000"/>
      <name val="Arial"/>
    </font>
    <font>
      <u/>
      <sz val="10.0"/>
      <color rgb="FF000000"/>
      <name val="Arial"/>
    </font>
    <font>
      <u/>
      <sz val="10.0"/>
      <color rgb="FF000000"/>
      <name val="Arial"/>
    </font>
    <font>
      <u/>
      <sz val="10.0"/>
      <color rgb="FF0000FF"/>
      <name val="Arial"/>
    </font>
  </fonts>
  <fills count="11">
    <fill>
      <patternFill patternType="none"/>
    </fill>
    <fill>
      <patternFill patternType="lightGray"/>
    </fill>
    <fill>
      <patternFill patternType="solid">
        <fgColor rgb="FFFCE5CD"/>
        <bgColor rgb="FFFCE5CD"/>
      </patternFill>
    </fill>
    <fill>
      <patternFill patternType="solid">
        <fgColor rgb="FFF3F3F3"/>
        <bgColor rgb="FFF3F3F3"/>
      </patternFill>
    </fill>
    <fill>
      <patternFill patternType="solid">
        <fgColor rgb="FFFFFFFF"/>
        <bgColor rgb="FFFFFFFF"/>
      </patternFill>
    </fill>
    <fill>
      <patternFill patternType="solid">
        <fgColor rgb="FFD0E0E3"/>
        <bgColor rgb="FFD0E0E3"/>
      </patternFill>
    </fill>
    <fill>
      <patternFill patternType="solid">
        <fgColor rgb="FFFFF2CC"/>
        <bgColor rgb="FFFFF2CC"/>
      </patternFill>
    </fill>
    <fill>
      <patternFill patternType="solid">
        <fgColor theme="0"/>
        <bgColor theme="0"/>
      </patternFill>
    </fill>
    <fill>
      <patternFill patternType="solid">
        <fgColor rgb="FFF4CCCC"/>
        <bgColor rgb="FFF4CCCC"/>
      </patternFill>
    </fill>
    <fill>
      <patternFill patternType="solid">
        <fgColor rgb="FFEAD1DC"/>
        <bgColor rgb="FFEAD1DC"/>
      </patternFill>
    </fill>
    <fill>
      <patternFill patternType="solid">
        <fgColor rgb="FFCFE2F3"/>
        <bgColor rgb="FFCFE2F3"/>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rder>
    <border>
      <left style="thin">
        <color rgb="FF000000"/>
      </left>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top style="thin">
        <color rgb="FF000000"/>
      </top>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2" fillId="2" fontId="1" numFmtId="0" xfId="0" applyAlignment="1" applyBorder="1" applyFont="1">
      <alignment shrinkToFit="0" wrapText="1"/>
    </xf>
    <xf borderId="1" fillId="2" fontId="1" numFmtId="0" xfId="0" applyAlignment="1" applyBorder="1" applyFont="1">
      <alignment shrinkToFit="0" wrapText="1"/>
    </xf>
    <xf borderId="0" fillId="3" fontId="2" numFmtId="0" xfId="0" applyAlignment="1" applyFill="1" applyFont="1">
      <alignment readingOrder="0"/>
    </xf>
    <xf borderId="0" fillId="3" fontId="2" numFmtId="0" xfId="0" applyFont="1"/>
    <xf borderId="0" fillId="0" fontId="1" numFmtId="0" xfId="0" applyAlignment="1" applyFont="1">
      <alignment shrinkToFit="0" vertical="bottom" wrapText="1"/>
    </xf>
    <xf borderId="2" fillId="0" fontId="2" numFmtId="0" xfId="0" applyAlignment="1" applyBorder="1" applyFont="1">
      <alignment shrinkToFit="0" vertical="bottom" wrapText="1"/>
    </xf>
    <xf borderId="3" fillId="0" fontId="1" numFmtId="0" xfId="0" applyAlignment="1" applyBorder="1" applyFont="1">
      <alignment shrinkToFit="0" wrapText="1"/>
    </xf>
    <xf borderId="0" fillId="0" fontId="1" numFmtId="0" xfId="0" applyAlignment="1" applyFont="1">
      <alignment shrinkToFit="0" wrapText="1"/>
    </xf>
    <xf borderId="4" fillId="0" fontId="1" numFmtId="0" xfId="0" applyAlignment="1" applyBorder="1" applyFont="1">
      <alignment shrinkToFit="0" wrapText="1"/>
    </xf>
    <xf borderId="5" fillId="0" fontId="1" numFmtId="0" xfId="0" applyAlignment="1" applyBorder="1" applyFont="1">
      <alignment shrinkToFit="0" wrapText="1"/>
    </xf>
    <xf borderId="5" fillId="0" fontId="1" numFmtId="0" xfId="0" applyAlignment="1" applyBorder="1" applyFont="1">
      <alignment readingOrder="0" shrinkToFit="0" wrapText="1"/>
    </xf>
    <xf borderId="5" fillId="0" fontId="3" numFmtId="0" xfId="0" applyAlignment="1" applyBorder="1" applyFont="1">
      <alignment readingOrder="0" shrinkToFit="0" wrapText="1"/>
    </xf>
    <xf borderId="5" fillId="0" fontId="4" numFmtId="0" xfId="0" applyBorder="1" applyFont="1"/>
    <xf borderId="3" fillId="0" fontId="4" numFmtId="0" xfId="0" applyBorder="1" applyFont="1"/>
    <xf borderId="4" fillId="0" fontId="4" numFmtId="0" xfId="0" applyBorder="1" applyFont="1"/>
    <xf borderId="0" fillId="3" fontId="2" numFmtId="10" xfId="0" applyFont="1" applyNumberFormat="1"/>
    <xf borderId="5" fillId="0" fontId="2" numFmtId="0" xfId="0" applyAlignment="1" applyBorder="1" applyFont="1">
      <alignment shrinkToFit="0" vertical="bottom" wrapText="1"/>
    </xf>
    <xf borderId="5" fillId="0" fontId="5" numFmtId="0" xfId="0" applyAlignment="1" applyBorder="1" applyFont="1">
      <alignment shrinkToFit="0" wrapText="1"/>
    </xf>
    <xf borderId="0" fillId="0" fontId="2" numFmtId="0" xfId="0" applyAlignment="1" applyFont="1">
      <alignment readingOrder="0"/>
    </xf>
    <xf borderId="0" fillId="0" fontId="6" numFmtId="164" xfId="0" applyAlignment="1" applyFont="1" applyNumberFormat="1">
      <alignment horizontal="left" readingOrder="0"/>
    </xf>
    <xf borderId="5" fillId="0" fontId="7" numFmtId="0" xfId="0" applyAlignment="1" applyBorder="1" applyFont="1">
      <alignment readingOrder="0" shrinkToFit="0" wrapText="1"/>
    </xf>
    <xf borderId="5" fillId="4" fontId="8" numFmtId="0" xfId="0" applyAlignment="1" applyBorder="1" applyFill="1" applyFont="1">
      <alignment readingOrder="0" shrinkToFit="0" wrapText="1"/>
    </xf>
    <xf borderId="5" fillId="0" fontId="1" numFmtId="0" xfId="0" applyAlignment="1" applyBorder="1" applyFont="1">
      <alignment shrinkToFit="0" vertical="bottom" wrapText="1"/>
    </xf>
    <xf borderId="1" fillId="5" fontId="1" numFmtId="0" xfId="0" applyAlignment="1" applyBorder="1" applyFill="1" applyFont="1">
      <alignment shrinkToFit="0" wrapText="1"/>
    </xf>
    <xf borderId="1" fillId="5" fontId="1" numFmtId="0" xfId="0" applyAlignment="1" applyBorder="1" applyFont="1">
      <alignment readingOrder="0" shrinkToFit="0" wrapText="1"/>
    </xf>
    <xf borderId="3" fillId="0" fontId="1" numFmtId="0" xfId="0" applyAlignment="1" applyBorder="1" applyFont="1">
      <alignment shrinkToFit="0" vertical="bottom" wrapText="1"/>
    </xf>
    <xf borderId="6" fillId="0" fontId="1" numFmtId="0" xfId="0" applyAlignment="1" applyBorder="1" applyFont="1">
      <alignment shrinkToFit="0" vertical="bottom" wrapText="1"/>
    </xf>
    <xf borderId="7" fillId="0" fontId="4" numFmtId="0" xfId="0" applyBorder="1" applyFont="1"/>
    <xf borderId="7" fillId="0" fontId="1" numFmtId="0" xfId="0" applyAlignment="1" applyBorder="1" applyFont="1">
      <alignment shrinkToFit="0" wrapText="1"/>
    </xf>
    <xf borderId="7" fillId="0" fontId="1" numFmtId="0" xfId="0" applyAlignment="1" applyBorder="1" applyFont="1">
      <alignment readingOrder="0" shrinkToFit="0" wrapText="1"/>
    </xf>
    <xf borderId="8" fillId="0" fontId="1" numFmtId="0" xfId="0" applyAlignment="1" applyBorder="1" applyFont="1">
      <alignment readingOrder="0" shrinkToFit="0" wrapText="1"/>
    </xf>
    <xf borderId="0" fillId="0" fontId="1" numFmtId="0" xfId="0" applyAlignment="1" applyFont="1">
      <alignment shrinkToFit="0" vertical="top" wrapText="1"/>
    </xf>
    <xf borderId="8" fillId="0" fontId="1" numFmtId="0" xfId="0" applyAlignment="1" applyBorder="1" applyFont="1">
      <alignment readingOrder="0" shrinkToFit="0" vertical="top" wrapText="1"/>
    </xf>
    <xf borderId="5" fillId="0" fontId="1" numFmtId="164" xfId="0" applyAlignment="1" applyBorder="1" applyFont="1" applyNumberFormat="1">
      <alignment readingOrder="0" shrinkToFit="0" wrapText="1"/>
    </xf>
    <xf borderId="0" fillId="0" fontId="1" numFmtId="0" xfId="0" applyAlignment="1" applyFont="1">
      <alignment readingOrder="0" shrinkToFit="0" wrapText="1"/>
    </xf>
    <xf borderId="5" fillId="0" fontId="9" numFmtId="0" xfId="0" applyAlignment="1" applyBorder="1" applyFont="1">
      <alignment readingOrder="0" shrinkToFit="0" wrapText="1"/>
    </xf>
    <xf borderId="5" fillId="0" fontId="10" numFmtId="0" xfId="0" applyAlignment="1" applyBorder="1" applyFont="1">
      <alignment readingOrder="0" shrinkToFit="0" wrapText="1"/>
    </xf>
    <xf borderId="8" fillId="0" fontId="2" numFmtId="0" xfId="0" applyAlignment="1" applyBorder="1" applyFont="1">
      <alignment readingOrder="0"/>
    </xf>
    <xf borderId="3" fillId="0" fontId="1" numFmtId="0" xfId="0" applyAlignment="1" applyBorder="1" applyFont="1">
      <alignment readingOrder="0" shrinkToFit="0" vertical="bottom" wrapText="1"/>
    </xf>
    <xf borderId="9" fillId="0" fontId="11" numFmtId="0" xfId="0" applyAlignment="1" applyBorder="1" applyFont="1">
      <alignment readingOrder="0" shrinkToFit="0" wrapText="1"/>
    </xf>
    <xf borderId="6" fillId="0" fontId="1" numFmtId="0" xfId="0" applyAlignment="1" applyBorder="1" applyFont="1">
      <alignment readingOrder="0" shrinkToFit="0" vertical="bottom" wrapText="1"/>
    </xf>
    <xf borderId="6" fillId="0" fontId="4" numFmtId="0" xfId="0" applyBorder="1" applyFont="1"/>
    <xf borderId="3" fillId="4" fontId="1" numFmtId="0" xfId="0" applyAlignment="1" applyBorder="1" applyFont="1">
      <alignment shrinkToFit="0" vertical="bottom" wrapText="1"/>
    </xf>
    <xf borderId="5" fillId="4" fontId="1" numFmtId="0" xfId="0" applyAlignment="1" applyBorder="1" applyFont="1">
      <alignment readingOrder="0" shrinkToFit="0" wrapText="1"/>
    </xf>
    <xf borderId="5" fillId="4" fontId="1" numFmtId="164" xfId="0" applyAlignment="1" applyBorder="1" applyFont="1" applyNumberFormat="1">
      <alignment readingOrder="0" shrinkToFit="0" wrapText="1"/>
    </xf>
    <xf borderId="5" fillId="4" fontId="1" numFmtId="0" xfId="0" applyAlignment="1" applyBorder="1" applyFont="1">
      <alignment shrinkToFit="0" wrapText="1"/>
    </xf>
    <xf borderId="0" fillId="4" fontId="1" numFmtId="0" xfId="0" applyAlignment="1" applyFont="1">
      <alignment readingOrder="0" shrinkToFit="0" wrapText="1"/>
    </xf>
    <xf borderId="5" fillId="4" fontId="12" numFmtId="0" xfId="0" applyAlignment="1" applyBorder="1" applyFont="1">
      <alignment readingOrder="0" shrinkToFit="0" wrapText="1"/>
    </xf>
    <xf borderId="0" fillId="4" fontId="2" numFmtId="0" xfId="0" applyAlignment="1" applyFont="1">
      <alignment readingOrder="0"/>
    </xf>
    <xf borderId="0" fillId="4" fontId="2" numFmtId="0" xfId="0" applyFont="1"/>
    <xf borderId="6" fillId="4" fontId="1" numFmtId="0" xfId="0" applyAlignment="1" applyBorder="1" applyFont="1">
      <alignment shrinkToFit="0" vertical="bottom" wrapText="1"/>
    </xf>
    <xf borderId="7" fillId="4" fontId="1" numFmtId="0" xfId="0" applyAlignment="1" applyBorder="1" applyFont="1">
      <alignment readingOrder="0" shrinkToFit="0" wrapText="1"/>
    </xf>
    <xf borderId="8" fillId="4" fontId="1" numFmtId="0" xfId="0" applyAlignment="1" applyBorder="1" applyFont="1">
      <alignment readingOrder="0" shrinkToFit="0" wrapText="1"/>
    </xf>
    <xf borderId="1" fillId="6" fontId="1" numFmtId="0" xfId="0" applyAlignment="1" applyBorder="1" applyFill="1" applyFont="1">
      <alignment shrinkToFit="0" wrapText="1"/>
    </xf>
    <xf borderId="1" fillId="6" fontId="1" numFmtId="0" xfId="0" applyAlignment="1" applyBorder="1" applyFont="1">
      <alignment readingOrder="0" shrinkToFit="0" wrapText="1"/>
    </xf>
    <xf borderId="3" fillId="0" fontId="1" numFmtId="0" xfId="0" applyAlignment="1" applyBorder="1" applyFont="1">
      <alignment readingOrder="0" shrinkToFit="0" wrapText="1"/>
    </xf>
    <xf borderId="0" fillId="4" fontId="1" numFmtId="0" xfId="0" applyAlignment="1" applyFont="1">
      <alignment shrinkToFit="0" wrapText="1"/>
    </xf>
    <xf borderId="5" fillId="4" fontId="13" numFmtId="0" xfId="0" applyAlignment="1" applyBorder="1" applyFont="1">
      <alignment readingOrder="0" shrinkToFit="0" wrapText="1"/>
    </xf>
    <xf borderId="5" fillId="4" fontId="1" numFmtId="164" xfId="0" applyAlignment="1" applyBorder="1" applyFont="1" applyNumberFormat="1">
      <alignment horizontal="left" readingOrder="0" shrinkToFit="0" wrapText="1"/>
    </xf>
    <xf borderId="5" fillId="0" fontId="1" numFmtId="164" xfId="0" applyAlignment="1" applyBorder="1" applyFont="1" applyNumberFormat="1">
      <alignment horizontal="left" readingOrder="0" shrinkToFit="0" wrapText="1"/>
    </xf>
    <xf borderId="3" fillId="4" fontId="2" numFmtId="0" xfId="0" applyAlignment="1" applyBorder="1" applyFont="1">
      <alignment readingOrder="0"/>
    </xf>
    <xf borderId="0" fillId="7" fontId="1" numFmtId="0" xfId="0" applyAlignment="1" applyFill="1" applyFont="1">
      <alignment readingOrder="0" shrinkToFit="0" wrapText="1"/>
    </xf>
    <xf borderId="5" fillId="0" fontId="14" numFmtId="0" xfId="0" applyAlignment="1" applyBorder="1" applyFont="1">
      <alignment readingOrder="0" shrinkToFit="0" wrapText="1"/>
    </xf>
    <xf borderId="0" fillId="0" fontId="1" numFmtId="0" xfId="0" applyAlignment="1" applyFont="1">
      <alignment readingOrder="0" shrinkToFit="0" wrapText="0"/>
    </xf>
    <xf borderId="3" fillId="0" fontId="2" numFmtId="0" xfId="0" applyAlignment="1" applyBorder="1" applyFont="1">
      <alignment readingOrder="0"/>
    </xf>
    <xf borderId="5" fillId="0" fontId="1" numFmtId="0" xfId="0" applyAlignment="1" applyBorder="1" applyFont="1">
      <alignment shrinkToFit="0" wrapText="0"/>
    </xf>
    <xf borderId="5" fillId="0" fontId="1" numFmtId="0" xfId="0" applyAlignment="1" applyBorder="1" applyFont="1">
      <alignment readingOrder="0" shrinkToFit="0" wrapText="0"/>
    </xf>
    <xf borderId="5" fillId="0" fontId="1" numFmtId="164" xfId="0" applyAlignment="1" applyBorder="1" applyFont="1" applyNumberFormat="1">
      <alignment horizontal="left" readingOrder="0" shrinkToFit="0" wrapText="0"/>
    </xf>
    <xf borderId="5" fillId="4" fontId="1" numFmtId="0" xfId="0" applyAlignment="1" applyBorder="1" applyFont="1">
      <alignment readingOrder="0" shrinkToFit="0" wrapText="0"/>
    </xf>
    <xf borderId="5" fillId="0" fontId="15" numFmtId="0" xfId="0" applyAlignment="1" applyBorder="1" applyFont="1">
      <alignment readingOrder="0" shrinkToFit="0" wrapText="0"/>
    </xf>
    <xf borderId="0" fillId="0" fontId="2" numFmtId="0" xfId="0" applyAlignment="1" applyFont="1">
      <alignment shrinkToFit="0" wrapText="0"/>
    </xf>
    <xf borderId="0" fillId="4" fontId="16" numFmtId="0" xfId="0" applyAlignment="1" applyFont="1">
      <alignment readingOrder="0" shrinkToFit="0" wrapText="0"/>
    </xf>
    <xf borderId="0" fillId="4" fontId="1" numFmtId="0" xfId="0" applyAlignment="1" applyFont="1">
      <alignment readingOrder="0" shrinkToFit="0" wrapText="0"/>
    </xf>
    <xf borderId="0" fillId="0" fontId="1" numFmtId="0" xfId="0" applyAlignment="1" applyFont="1">
      <alignment readingOrder="0" shrinkToFit="0" wrapText="0"/>
    </xf>
    <xf borderId="1" fillId="8" fontId="1" numFmtId="0" xfId="0" applyAlignment="1" applyBorder="1" applyFill="1" applyFont="1">
      <alignment shrinkToFit="0" wrapText="1"/>
    </xf>
    <xf borderId="1" fillId="8" fontId="1" numFmtId="0" xfId="0" applyAlignment="1" applyBorder="1" applyFont="1">
      <alignment readingOrder="0" shrinkToFit="0" wrapText="1"/>
    </xf>
    <xf borderId="3" fillId="0" fontId="17" numFmtId="0" xfId="0" applyAlignment="1" applyBorder="1" applyFont="1">
      <alignment readingOrder="0" shrinkToFit="0" wrapText="1"/>
    </xf>
    <xf borderId="3" fillId="0" fontId="18" numFmtId="0" xfId="0" applyAlignment="1" applyBorder="1" applyFont="1">
      <alignment shrinkToFit="0" wrapText="1"/>
    </xf>
    <xf borderId="0" fillId="0" fontId="19" numFmtId="0" xfId="0" applyAlignment="1" applyFont="1">
      <alignment readingOrder="0"/>
    </xf>
    <xf borderId="0" fillId="0" fontId="20" numFmtId="0" xfId="0" applyAlignment="1" applyFont="1">
      <alignment readingOrder="0"/>
    </xf>
    <xf borderId="0" fillId="4" fontId="19" numFmtId="0" xfId="0" applyAlignment="1" applyFont="1">
      <alignment readingOrder="0"/>
    </xf>
    <xf borderId="0" fillId="4" fontId="20" numFmtId="0" xfId="0" applyAlignment="1" applyFont="1">
      <alignment readingOrder="0"/>
    </xf>
    <xf borderId="0" fillId="0" fontId="1" numFmtId="0" xfId="0" applyFont="1"/>
    <xf borderId="3" fillId="4" fontId="21" numFmtId="0" xfId="0" applyAlignment="1" applyBorder="1" applyFont="1">
      <alignment readingOrder="0" shrinkToFit="0" wrapText="1"/>
    </xf>
    <xf borderId="1" fillId="9" fontId="1" numFmtId="0" xfId="0" applyAlignment="1" applyBorder="1" applyFill="1" applyFont="1">
      <alignment readingOrder="0" shrinkToFit="0" wrapText="1"/>
    </xf>
    <xf borderId="1" fillId="9" fontId="1" numFmtId="0" xfId="0" applyAlignment="1" applyBorder="1" applyFont="1">
      <alignment shrinkToFit="0" wrapText="1"/>
    </xf>
    <xf borderId="3" fillId="0" fontId="2" numFmtId="0" xfId="0" applyAlignment="1" applyBorder="1" applyFont="1">
      <alignment readingOrder="0" shrinkToFit="0" wrapText="1"/>
    </xf>
    <xf borderId="5" fillId="0" fontId="1" numFmtId="0" xfId="0" applyAlignment="1" applyBorder="1" applyFont="1">
      <alignment shrinkToFit="0" vertical="bottom" wrapText="1"/>
    </xf>
    <xf borderId="0" fillId="0" fontId="2" numFmtId="0" xfId="0" applyAlignment="1" applyFont="1">
      <alignment readingOrder="0" shrinkToFit="0" wrapText="1"/>
    </xf>
    <xf borderId="3" fillId="0" fontId="22" numFmtId="0" xfId="0" applyAlignment="1" applyBorder="1" applyFont="1">
      <alignment readingOrder="0"/>
    </xf>
    <xf borderId="4" fillId="0" fontId="22" numFmtId="0" xfId="0" applyAlignment="1" applyBorder="1" applyFont="1">
      <alignment readingOrder="0"/>
    </xf>
    <xf borderId="5" fillId="4" fontId="23" numFmtId="0" xfId="0" applyAlignment="1" applyBorder="1" applyFont="1">
      <alignment readingOrder="0" shrinkToFit="0" wrapText="1"/>
    </xf>
    <xf borderId="5" fillId="4" fontId="22" numFmtId="0" xfId="0" applyAlignment="1" applyBorder="1" applyFont="1">
      <alignment readingOrder="0" shrinkToFit="0" wrapText="1"/>
    </xf>
    <xf borderId="5" fillId="4" fontId="1" numFmtId="0" xfId="0" applyAlignment="1" applyBorder="1" applyFont="1">
      <alignment readingOrder="0" shrinkToFit="0" vertical="bottom" wrapText="1"/>
    </xf>
    <xf borderId="5" fillId="4" fontId="1" numFmtId="0" xfId="0" applyAlignment="1" applyBorder="1" applyFont="1">
      <alignment readingOrder="0" vertical="bottom"/>
    </xf>
    <xf borderId="5" fillId="4" fontId="1" numFmtId="0" xfId="0" applyAlignment="1" applyBorder="1" applyFont="1">
      <alignment shrinkToFit="0" vertical="bottom" wrapText="1"/>
    </xf>
    <xf borderId="0" fillId="4" fontId="1" numFmtId="0" xfId="0" applyAlignment="1" applyFont="1">
      <alignment readingOrder="0" shrinkToFit="0" vertical="bottom" wrapText="1"/>
    </xf>
    <xf borderId="5" fillId="4" fontId="24" numFmtId="0" xfId="0" applyAlignment="1" applyBorder="1" applyFont="1">
      <alignment readingOrder="0" shrinkToFit="0" vertical="bottom" wrapText="1"/>
    </xf>
    <xf borderId="5" fillId="4" fontId="22" numFmtId="0" xfId="0" applyAlignment="1" applyBorder="1" applyFont="1">
      <alignment readingOrder="0" vertical="bottom"/>
    </xf>
    <xf borderId="5" fillId="0" fontId="1" numFmtId="0" xfId="0" applyAlignment="1" applyBorder="1" applyFont="1">
      <alignment readingOrder="0" shrinkToFit="0" vertical="bottom" wrapText="1"/>
    </xf>
    <xf borderId="0" fillId="4" fontId="1" numFmtId="0" xfId="0" applyAlignment="1" applyFont="1">
      <alignment shrinkToFit="0" vertical="bottom" wrapText="1"/>
    </xf>
    <xf borderId="5" fillId="4" fontId="25" numFmtId="0" xfId="0" applyAlignment="1" applyBorder="1" applyFont="1">
      <alignment readingOrder="0" shrinkToFit="0" vertical="bottom" wrapText="1"/>
    </xf>
    <xf borderId="5" fillId="4" fontId="1" numFmtId="0" xfId="0" applyAlignment="1" applyBorder="1" applyFont="1">
      <alignment vertical="bottom"/>
    </xf>
    <xf borderId="5" fillId="4" fontId="1" numFmtId="164" xfId="0" applyAlignment="1" applyBorder="1" applyFont="1" applyNumberFormat="1">
      <alignment horizontal="left" readingOrder="0" shrinkToFit="0" vertical="bottom" wrapText="1"/>
    </xf>
    <xf borderId="5" fillId="4" fontId="26" numFmtId="0" xfId="0" applyAlignment="1" applyBorder="1" applyFont="1">
      <alignment readingOrder="0" vertical="bottom"/>
    </xf>
    <xf borderId="0" fillId="0" fontId="27" numFmtId="0" xfId="0" applyAlignment="1" applyFont="1">
      <alignment readingOrder="0"/>
    </xf>
    <xf borderId="5" fillId="0" fontId="27" numFmtId="0" xfId="0" applyAlignment="1" applyBorder="1" applyFont="1">
      <alignment readingOrder="0"/>
    </xf>
    <xf borderId="0" fillId="0" fontId="28" numFmtId="0" xfId="0" applyAlignment="1" applyFont="1">
      <alignment readingOrder="0"/>
    </xf>
    <xf borderId="5" fillId="4" fontId="26" numFmtId="0" xfId="0" applyAlignment="1" applyBorder="1" applyFont="1">
      <alignment readingOrder="0" shrinkToFit="0" vertical="bottom" wrapText="1"/>
    </xf>
    <xf borderId="5" fillId="0" fontId="27" numFmtId="0" xfId="0" applyAlignment="1" applyBorder="1" applyFont="1">
      <alignment readingOrder="0" shrinkToFit="0" wrapText="1"/>
    </xf>
    <xf borderId="0" fillId="0" fontId="2" numFmtId="0" xfId="0" applyAlignment="1" applyFont="1">
      <alignment horizontal="left" readingOrder="0" shrinkToFit="0" wrapText="1"/>
    </xf>
    <xf borderId="3" fillId="10" fontId="1" numFmtId="0" xfId="0" applyAlignment="1" applyBorder="1" applyFill="1" applyFont="1">
      <alignment shrinkToFit="0" wrapText="1"/>
    </xf>
    <xf borderId="5" fillId="10" fontId="1" numFmtId="0" xfId="0" applyAlignment="1" applyBorder="1" applyFont="1">
      <alignment shrinkToFit="0" wrapText="1"/>
    </xf>
    <xf borderId="5" fillId="10" fontId="1" numFmtId="0" xfId="0" applyAlignment="1" applyBorder="1" applyFont="1">
      <alignment readingOrder="0" shrinkToFit="0" wrapText="1"/>
    </xf>
    <xf borderId="5" fillId="0" fontId="2" numFmtId="0" xfId="0" applyAlignment="1" applyBorder="1" applyFont="1">
      <alignment readingOrder="0"/>
    </xf>
    <xf borderId="3" fillId="4" fontId="1" numFmtId="0" xfId="0" applyAlignment="1" applyBorder="1" applyFont="1">
      <alignment shrinkToFit="0" wrapText="1"/>
    </xf>
    <xf borderId="3" fillId="0" fontId="1" numFmtId="0" xfId="0" applyAlignment="1" applyBorder="1" applyFont="1">
      <alignment readingOrder="0" shrinkToFit="0" wrapText="1"/>
    </xf>
    <xf borderId="5" fillId="0" fontId="1" numFmtId="0" xfId="0" applyAlignment="1" applyBorder="1" applyFont="1">
      <alignment readingOrder="0" shrinkToFit="0" wrapText="1"/>
    </xf>
    <xf borderId="5" fillId="0" fontId="29" numFmtId="0" xfId="0" applyAlignment="1" applyBorder="1" applyFont="1">
      <alignment readingOrder="0" shrinkToFit="0" wrapText="1"/>
    </xf>
    <xf borderId="3" fillId="0" fontId="30" numFmtId="0" xfId="0" applyAlignment="1" applyBorder="1" applyFont="1">
      <alignment readingOrder="0"/>
    </xf>
    <xf borderId="5" fillId="0" fontId="30" numFmtId="0" xfId="0" applyAlignment="1" applyBorder="1" applyFont="1">
      <alignment readingOrder="0"/>
    </xf>
    <xf borderId="5" fillId="0" fontId="31" numFmtId="0" xfId="0" applyAlignment="1" applyBorder="1" applyFont="1">
      <alignment readingOrder="0" shrinkToFit="0" wrapText="1"/>
    </xf>
    <xf borderId="3" fillId="4" fontId="30" numFmtId="0" xfId="0" applyAlignment="1" applyBorder="1" applyFont="1">
      <alignment readingOrder="0"/>
    </xf>
    <xf borderId="5" fillId="4" fontId="30" numFmtId="0" xfId="0" applyAlignment="1" applyBorder="1" applyFont="1">
      <alignment readingOrder="0"/>
    </xf>
    <xf borderId="5" fillId="4" fontId="32" numFmtId="0" xfId="0" applyAlignment="1" applyBorder="1" applyFont="1">
      <alignment readingOrder="0" shrinkToFit="0" wrapText="1"/>
    </xf>
    <xf borderId="5" fillId="4" fontId="2" numFmtId="0" xfId="0" applyAlignment="1" applyBorder="1" applyFont="1">
      <alignment readingOrder="0"/>
    </xf>
    <xf borderId="5" fillId="0" fontId="30" numFmtId="0" xfId="0" applyAlignment="1" applyBorder="1" applyFont="1">
      <alignment readingOrder="0" shrinkToFit="0" wrapText="1"/>
    </xf>
    <xf borderId="3" fillId="0" fontId="1" numFmtId="0" xfId="0" applyAlignment="1" applyBorder="1" applyFont="1">
      <alignment readingOrder="0" vertical="bottom"/>
    </xf>
    <xf borderId="5" fillId="0" fontId="1" numFmtId="0" xfId="0" applyAlignment="1" applyBorder="1" applyFont="1">
      <alignment readingOrder="0" vertical="bottom"/>
    </xf>
    <xf borderId="5" fillId="0" fontId="1" numFmtId="0" xfId="0" applyAlignment="1" applyBorder="1" applyFont="1">
      <alignment vertical="bottom"/>
    </xf>
    <xf borderId="5" fillId="0" fontId="1" numFmtId="0" xfId="0" applyAlignment="1" applyBorder="1" applyFont="1">
      <alignment vertical="bottom"/>
    </xf>
    <xf borderId="0" fillId="0" fontId="1" numFmtId="0" xfId="0" applyAlignment="1" applyFont="1">
      <alignment vertical="bottom"/>
    </xf>
    <xf borderId="0" fillId="0" fontId="1" numFmtId="0" xfId="0" applyAlignment="1" applyFont="1">
      <alignment vertical="bottom"/>
    </xf>
    <xf borderId="5" fillId="0" fontId="1" numFmtId="0" xfId="0" applyAlignment="1" applyBorder="1" applyFont="1">
      <alignment shrinkToFit="0" vertical="bottom" wrapText="1"/>
    </xf>
    <xf borderId="5" fillId="0" fontId="30" numFmtId="164" xfId="0" applyAlignment="1" applyBorder="1" applyFont="1" applyNumberFormat="1">
      <alignment readingOrder="0"/>
    </xf>
    <xf borderId="5" fillId="4" fontId="33" numFmtId="0" xfId="0" applyAlignment="1" applyBorder="1" applyFont="1">
      <alignment readingOrder="0" shrinkToFit="0" wrapText="1"/>
    </xf>
    <xf borderId="7" fillId="0" fontId="2" numFmtId="0" xfId="0" applyAlignment="1" applyBorder="1" applyFont="1">
      <alignment readingOrder="0"/>
    </xf>
    <xf borderId="7" fillId="0" fontId="30" numFmtId="0" xfId="0" applyAlignment="1" applyBorder="1" applyFont="1">
      <alignment readingOrder="0"/>
    </xf>
    <xf borderId="0" fillId="0" fontId="30" numFmtId="0" xfId="0" applyFont="1"/>
    <xf borderId="0" fillId="0" fontId="30" numFmtId="0" xfId="0" applyAlignment="1" applyFont="1">
      <alignment readingOrder="0"/>
    </xf>
    <xf borderId="0" fillId="0" fontId="30" numFmtId="164" xfId="0" applyAlignment="1" applyFont="1" applyNumberFormat="1">
      <alignment readingOrder="0"/>
    </xf>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eeexplore-ieee-org.aus.idm.oclc.org/document/9579991" TargetMode="External"/><Relationship Id="rId42" Type="http://schemas.openxmlformats.org/officeDocument/2006/relationships/hyperlink" Target="https://arxiv.org/abs/2403.19076" TargetMode="External"/><Relationship Id="rId41" Type="http://schemas.openxmlformats.org/officeDocument/2006/relationships/hyperlink" Target="https://dl-acm-org.aus.idm.oclc.org/doi/10.1145/3661820" TargetMode="External"/><Relationship Id="rId44" Type="http://schemas.openxmlformats.org/officeDocument/2006/relationships/hyperlink" Target="https://dl-acm-org.aus.idm.oclc.org/doi/10.1145/3678591" TargetMode="External"/><Relationship Id="rId43" Type="http://schemas.openxmlformats.org/officeDocument/2006/relationships/hyperlink" Target="https://dl-acm-org.aus.idm.oclc.org/doi/full/10.1145/3609425" TargetMode="External"/><Relationship Id="rId46" Type="http://schemas.openxmlformats.org/officeDocument/2006/relationships/hyperlink" Target="https://ieeexplore-ieee-org.aus.idm.oclc.org/document/10531812" TargetMode="External"/><Relationship Id="rId45" Type="http://schemas.openxmlformats.org/officeDocument/2006/relationships/hyperlink" Target="https://dl-acm-org.aus.idm.oclc.org/doi/10.1145/3793553" TargetMode="External"/><Relationship Id="rId107" Type="http://schemas.openxmlformats.org/officeDocument/2006/relationships/hyperlink" Target="https://www.mdpi.com/2079-9292/13/23/4768" TargetMode="External"/><Relationship Id="rId106" Type="http://schemas.openxmlformats.org/officeDocument/2006/relationships/hyperlink" Target="https://www.mdpi.com/1424-8220/23/22/9210" TargetMode="External"/><Relationship Id="rId105" Type="http://schemas.openxmlformats.org/officeDocument/2006/relationships/hyperlink" Target="https://dl-acm-org.aus.idm.oclc.org/doi/pdf/10.1145/3582433" TargetMode="External"/><Relationship Id="rId104" Type="http://schemas.openxmlformats.org/officeDocument/2006/relationships/hyperlink" Target="https://dl-acm-org.aus.idm.oclc.org/doi/pdf/10.1145/3582433" TargetMode="External"/><Relationship Id="rId109" Type="http://schemas.openxmlformats.org/officeDocument/2006/relationships/hyperlink" Target="https://ieeexplore.ieee.org/abstract/document/9964383" TargetMode="External"/><Relationship Id="rId108" Type="http://schemas.openxmlformats.org/officeDocument/2006/relationships/hyperlink" Target="https://www.researchgate.net/publication/400087659_Joint_Contactless_Temperature_Humidity_and_Occupancy_Sensing_via_Wi-Fi_Channel_State_Information_on_ESP32_Nodes_Joint_Contactless_Temperature_Humidity_and_Occupancy_Sensing_via_Wi-Fi_Channel_State_Inf" TargetMode="External"/><Relationship Id="rId48" Type="http://schemas.openxmlformats.org/officeDocument/2006/relationships/hyperlink" Target="https://dl-acm-org.aus.idm.oclc.org/doi/10.1145/3542819" TargetMode="External"/><Relationship Id="rId47" Type="http://schemas.openxmlformats.org/officeDocument/2006/relationships/hyperlink" Target="https://ieeexplore-ieee-org.aus.idm.oclc.org/document/9816745" TargetMode="External"/><Relationship Id="rId49" Type="http://schemas.openxmlformats.org/officeDocument/2006/relationships/hyperlink" Target="https://www.sciencedirect.com/science/article/pii/S2542660523001713" TargetMode="External"/><Relationship Id="rId103" Type="http://schemas.openxmlformats.org/officeDocument/2006/relationships/hyperlink" Target="https://www.researchgate.net/publication/400049498_Environmental_Hazards_Prediction_Using_Real-Time_IoT_Sensor_Data_and_Edge-Deployed_Machine_Learning_for_Smart_Residential_Contexts" TargetMode="External"/><Relationship Id="rId102" Type="http://schemas.openxmlformats.org/officeDocument/2006/relationships/hyperlink" Target="https://www.researchgate.net/publication/394618606_Low-Cost_Wi-Fi_Sensing_Challenges_Advances_and_a_Framework_for_Edge_Deployment" TargetMode="External"/><Relationship Id="rId101" Type="http://schemas.openxmlformats.org/officeDocument/2006/relationships/hyperlink" Target="https://ieeexplore.ieee.org/document/11364132" TargetMode="External"/><Relationship Id="rId100" Type="http://schemas.openxmlformats.org/officeDocument/2006/relationships/hyperlink" Target="https://www.sciencedirect.com/science/article/pii/S2590123026001507" TargetMode="External"/><Relationship Id="rId31" Type="http://schemas.openxmlformats.org/officeDocument/2006/relationships/hyperlink" Target="https://ieeexplore-ieee-org.aus.idm.oclc.org/document/10330937" TargetMode="External"/><Relationship Id="rId30" Type="http://schemas.openxmlformats.org/officeDocument/2006/relationships/hyperlink" Target="http://ieeexplore-ieee-org.aus.idm.oclc.org/document/11275822/" TargetMode="External"/><Relationship Id="rId33" Type="http://schemas.openxmlformats.org/officeDocument/2006/relationships/hyperlink" Target="https://ieeexplore-ieee-org.aus.idm.oclc.org/document/11261518" TargetMode="External"/><Relationship Id="rId32" Type="http://schemas.openxmlformats.org/officeDocument/2006/relationships/hyperlink" Target="https://ieeexplore-ieee-org.aus.idm.oclc.org/document/11007628" TargetMode="External"/><Relationship Id="rId35" Type="http://schemas.openxmlformats.org/officeDocument/2006/relationships/hyperlink" Target="https://www.nature.com/articles/s41598-025-98571-2.pdf" TargetMode="External"/><Relationship Id="rId34" Type="http://schemas.openxmlformats.org/officeDocument/2006/relationships/hyperlink" Target="https://pdfs.semanticscholar.org/3420/fe50ef93411002060e413f86d5a6761bd521.pdf" TargetMode="External"/><Relationship Id="rId37" Type="http://schemas.openxmlformats.org/officeDocument/2006/relationships/hyperlink" Target="https://www.researchgate.net/publication/378756406_TinyML_Empowered_Transfer_Learning_on_the_Edge" TargetMode="External"/><Relationship Id="rId36" Type="http://schemas.openxmlformats.org/officeDocument/2006/relationships/hyperlink" Target="https://www.researchgate.net/publication/397634098_Quantifying_Energy-Accuracy-Latency_Trade-offs_in_Cloud-Offloaded_and_On-Device_TinyML_Inference_on_IoT_Devices" TargetMode="External"/><Relationship Id="rId39" Type="http://schemas.openxmlformats.org/officeDocument/2006/relationships/hyperlink" Target="https://www.researchgate.net/publication/355787942_Are_Microcontrollers_Ready_for_Deep_Learning-Based_Human_Activity_Recognition" TargetMode="External"/><Relationship Id="rId38" Type="http://schemas.openxmlformats.org/officeDocument/2006/relationships/hyperlink" Target="https://ieeexplore-ieee-org.aus.idm.oclc.org/document/10761203" TargetMode="External"/><Relationship Id="rId20" Type="http://schemas.openxmlformats.org/officeDocument/2006/relationships/hyperlink" Target="https://ieeexplore.ieee.org/document/10849192" TargetMode="External"/><Relationship Id="rId22" Type="http://schemas.openxmlformats.org/officeDocument/2006/relationships/hyperlink" Target="https://ieeexplore.ieee.org/document/10241972" TargetMode="External"/><Relationship Id="rId21" Type="http://schemas.openxmlformats.org/officeDocument/2006/relationships/hyperlink" Target="https://ieeexplore.ieee.org/document/9869909" TargetMode="External"/><Relationship Id="rId24" Type="http://schemas.openxmlformats.org/officeDocument/2006/relationships/hyperlink" Target="https://ieeexplore.ieee.org/document/11270693" TargetMode="External"/><Relationship Id="rId23" Type="http://schemas.openxmlformats.org/officeDocument/2006/relationships/hyperlink" Target="https://ieeexplore.ieee.org/document/11270573" TargetMode="External"/><Relationship Id="rId129" Type="http://schemas.openxmlformats.org/officeDocument/2006/relationships/hyperlink" Target="https://www.researchgate.net/profile/Mehtab-Khan-14/publication/391147642_Design_and_Implementation_of_an_ESP32-Based_Intelligent_Industrial_Surveillance_System_for_Real-Time_Fire_Detection_BlackBook_Final_Year_Engineering_Project/links/680b63f9df0e3f544f495c48/Design-and-Implementation-of-an-ESP32-Based-Intelligent-Industrial-Surveillance-System-for-Real-Time-Fire-Detection-BlackBook-Final-Year-Engineering-Project.pdf" TargetMode="External"/><Relationship Id="rId128" Type="http://schemas.openxmlformats.org/officeDocument/2006/relationships/hyperlink" Target="https://www.researchgate.net/profile/Bharath-Sudharsan/publication/356235033_An_SRAM_Optimized_Approach_for_Constant_Memory_Consumption_and_Ultra-fast_Execution_of_ML_Classifiers_on_TinyML_Hardware/links/619a93ad07be5f31b7a6d20a/An-SRAM-Optimized-Approach-for-Constant-Memory-Consumption-and-Ultra-fast-Execution-of-ML-Classifiers-on-TinyML-Hardware.pdf" TargetMode="External"/><Relationship Id="rId127" Type="http://schemas.openxmlformats.org/officeDocument/2006/relationships/hyperlink" Target="https://link.springer.com/chapter/10.1007/978-3-031-25825-1_3" TargetMode="External"/><Relationship Id="rId126" Type="http://schemas.openxmlformats.org/officeDocument/2006/relationships/hyperlink" Target="https://ieeexplore.ieee.org/abstract/document/11410447?casa_token=RNmurrfDo-MAAAAA:yhdxwPsa8tAv1UDxgendNKFnrOVpM8N_uWh8exJclFGZkskQLyNN0f7P3wutlH1dhac54dE6Cw" TargetMode="External"/><Relationship Id="rId26" Type="http://schemas.openxmlformats.org/officeDocument/2006/relationships/hyperlink" Target="https://ieeexplore.ieee.org/document/11294282" TargetMode="External"/><Relationship Id="rId121" Type="http://schemas.openxmlformats.org/officeDocument/2006/relationships/hyperlink" Target="https://www.researchgate.net/publication/399939271_Design_and_Implementation_of_a_Low-Cost_Device_to_Monitor_the_Real-Time_Presence_of_CO_and_CO2_in_Ambient_Air_and_Prediction_of_its_Pollution_Level_using_TinyML" TargetMode="External"/><Relationship Id="rId25" Type="http://schemas.openxmlformats.org/officeDocument/2006/relationships/hyperlink" Target="https://ieeexplore.ieee.org/document/11018087" TargetMode="External"/><Relationship Id="rId120" Type="http://schemas.openxmlformats.org/officeDocument/2006/relationships/hyperlink" Target="https://www.researchgate.net/publication/394131540_Implementation_of_visual_people_counting_algorithms_in_embedded_systems" TargetMode="External"/><Relationship Id="rId28" Type="http://schemas.openxmlformats.org/officeDocument/2006/relationships/hyperlink" Target="https://ieeexplore-ieee-org.aus.idm.oclc.org/document/9075280" TargetMode="External"/><Relationship Id="rId27" Type="http://schemas.openxmlformats.org/officeDocument/2006/relationships/hyperlink" Target="https://dl-acm-org.aus.idm.oclc.org/doi/10.1145/3639856.3639859" TargetMode="External"/><Relationship Id="rId125" Type="http://schemas.openxmlformats.org/officeDocument/2006/relationships/hyperlink" Target="https://ieeexplore.ieee.org/abstract/document/10993435?casa_token=ABkB-T4AqxQAAAAA:0i3lgBpF3ZBR6m9uuBGXVVdk0OIwYDjh5REg6nifn7Pcpgv62xEtuNcQ-xAgoAwZ7M5_IV2mMA" TargetMode="External"/><Relationship Id="rId29" Type="http://schemas.openxmlformats.org/officeDocument/2006/relationships/hyperlink" Target="https://ieeexplore-ieee-org.aus.idm.oclc.org/document/10178063" TargetMode="External"/><Relationship Id="rId124" Type="http://schemas.openxmlformats.org/officeDocument/2006/relationships/hyperlink" Target="https://www.sciencedirect.com/science/article/pii/S2542660524003378" TargetMode="External"/><Relationship Id="rId123" Type="http://schemas.openxmlformats.org/officeDocument/2006/relationships/hyperlink" Target="https://ieeexplore.ieee.org/abstract/document/11307621" TargetMode="External"/><Relationship Id="rId122" Type="http://schemas.openxmlformats.org/officeDocument/2006/relationships/hyperlink" Target="https://ieeexplore.ieee.org/abstract/document/11378822?casa_token=iFoGwT7l3d0AAAAA:L5EHhaM9M1ZXQOgocAR6pLt_RfB3ozM7JmH35u02e0cJ-nhfOGfwN8QG-IqCRL533Tnr1GOH-g" TargetMode="External"/><Relationship Id="rId95" Type="http://schemas.openxmlformats.org/officeDocument/2006/relationships/hyperlink" Target="https://www.mdpi.com/2079-9292/13/23/4768" TargetMode="External"/><Relationship Id="rId94" Type="http://schemas.openxmlformats.org/officeDocument/2006/relationships/hyperlink" Target="https://www.sciencedirect.com/science/article/abs/pii/S2542660521001025" TargetMode="External"/><Relationship Id="rId97" Type="http://schemas.openxmlformats.org/officeDocument/2006/relationships/hyperlink" Target="https://www.mdpi.com/2413-4155/8/1/10" TargetMode="External"/><Relationship Id="rId96" Type="http://schemas.openxmlformats.org/officeDocument/2006/relationships/hyperlink" Target="https://pmc.ncbi.nlm.nih.gov/articles/PMC12644835/" TargetMode="External"/><Relationship Id="rId11" Type="http://schemas.openxmlformats.org/officeDocument/2006/relationships/hyperlink" Target="https://ieeexplore.ieee.org/stamp/stamp.jsp?tp=&amp;arnumber=10520459" TargetMode="External"/><Relationship Id="rId99" Type="http://schemas.openxmlformats.org/officeDocument/2006/relationships/hyperlink" Target="https://ieeexplore.ieee.org/stamp/stamp.jsp?tp=&amp;arnumber=11207470" TargetMode="External"/><Relationship Id="rId10" Type="http://schemas.openxmlformats.org/officeDocument/2006/relationships/hyperlink" Target="https://ieeexplore.ieee.org/stamp/stamp.jsp?tp=&amp;arnumber=9755991" TargetMode="External"/><Relationship Id="rId98" Type="http://schemas.openxmlformats.org/officeDocument/2006/relationships/hyperlink" Target="https://www.researchgate.net/publication/395334243_Embedded_TinyML_for_Predictive_Maintenance_Vibration_Analysis_on_ESP32_with_Real-Time_Fault_Detection_in_Industrial_Equipment" TargetMode="External"/><Relationship Id="rId13" Type="http://schemas.openxmlformats.org/officeDocument/2006/relationships/hyperlink" Target="https://ieeexplore.ieee.org/document/10247011" TargetMode="External"/><Relationship Id="rId12" Type="http://schemas.openxmlformats.org/officeDocument/2006/relationships/hyperlink" Target="https://ieeexplore.ieee.org/document/11339771" TargetMode="External"/><Relationship Id="rId91" Type="http://schemas.openxmlformats.org/officeDocument/2006/relationships/hyperlink" Target="https://link.springer.com/article/10.1007/s11431-025-3072-9" TargetMode="External"/><Relationship Id="rId90" Type="http://schemas.openxmlformats.org/officeDocument/2006/relationships/hyperlink" Target="https://ieeexplore.ieee.org/abstract/document/11307279" TargetMode="External"/><Relationship Id="rId93" Type="http://schemas.openxmlformats.org/officeDocument/2006/relationships/hyperlink" Target="https://www.researchgate.net/publication/364078340_TinyML_for_UWB-radar_based_presence_detection" TargetMode="External"/><Relationship Id="rId92" Type="http://schemas.openxmlformats.org/officeDocument/2006/relationships/hyperlink" Target="https://www.sciencedirect.com/science/article/pii/S1110016825009433" TargetMode="External"/><Relationship Id="rId118" Type="http://schemas.openxmlformats.org/officeDocument/2006/relationships/hyperlink" Target="https://www.researchgate.net/publication/395280133_TinyML-Based_Real-Time_Doorway_Activity_Recognition_with_a_Time-of-Flight_Sensor" TargetMode="External"/><Relationship Id="rId117" Type="http://schemas.openxmlformats.org/officeDocument/2006/relationships/hyperlink" Target="https://link.springer.com/article/10.1007/s43621-026-02591-5" TargetMode="External"/><Relationship Id="rId116" Type="http://schemas.openxmlformats.org/officeDocument/2006/relationships/hyperlink" Target="https://link.springer.com/article/10.1007/s11554-024-01605-7" TargetMode="External"/><Relationship Id="rId115" Type="http://schemas.openxmlformats.org/officeDocument/2006/relationships/hyperlink" Target="https://ieeexplore.ieee.org/stamp/stamp.jsp?tp=&amp;arnumber=10982063" TargetMode="External"/><Relationship Id="rId119" Type="http://schemas.openxmlformats.org/officeDocument/2006/relationships/hyperlink" Target="https://ieeexplore.ieee.org/abstract/document/9530806" TargetMode="External"/><Relationship Id="rId15" Type="http://schemas.openxmlformats.org/officeDocument/2006/relationships/hyperlink" Target="https://ieeexplore.ieee.org/document/9707596" TargetMode="External"/><Relationship Id="rId110" Type="http://schemas.openxmlformats.org/officeDocument/2006/relationships/hyperlink" Target="https://ieeexplore.ieee.org/stamp/stamp.jsp?tp=&amp;arnumber=11282020" TargetMode="External"/><Relationship Id="rId14" Type="http://schemas.openxmlformats.org/officeDocument/2006/relationships/hyperlink" Target="https://ieeexplore.ieee.org/document/11105106" TargetMode="External"/><Relationship Id="rId17" Type="http://schemas.openxmlformats.org/officeDocument/2006/relationships/hyperlink" Target="https://ieeexplore.ieee.org/document/10773488" TargetMode="External"/><Relationship Id="rId16" Type="http://schemas.openxmlformats.org/officeDocument/2006/relationships/hyperlink" Target="https://ieeexplore.ieee.org/document/11453401" TargetMode="External"/><Relationship Id="rId19" Type="http://schemas.openxmlformats.org/officeDocument/2006/relationships/hyperlink" Target="https://ieeexplore.ieee.org/document/10631631" TargetMode="External"/><Relationship Id="rId114" Type="http://schemas.openxmlformats.org/officeDocument/2006/relationships/hyperlink" Target="https://link.springer.com/chapter/10.1007/978-3-032-13006-8_41" TargetMode="External"/><Relationship Id="rId18" Type="http://schemas.openxmlformats.org/officeDocument/2006/relationships/hyperlink" Target="https://arxiv.org/pdf/2403.10549" TargetMode="External"/><Relationship Id="rId113" Type="http://schemas.openxmlformats.org/officeDocument/2006/relationships/hyperlink" Target="https://ieeexplore.ieee.org/abstract/document/11399311" TargetMode="External"/><Relationship Id="rId112" Type="http://schemas.openxmlformats.org/officeDocument/2006/relationships/hyperlink" Target="https://www.researchgate.net/publication/355844290_Communication_and_Network_Technologies_of_IoT_in_Smart_Building_A_Survey" TargetMode="External"/><Relationship Id="rId111" Type="http://schemas.openxmlformats.org/officeDocument/2006/relationships/hyperlink" Target="https://dl.acm.org/doi/epdf/10.1145/3582433" TargetMode="External"/><Relationship Id="rId84" Type="http://schemas.openxmlformats.org/officeDocument/2006/relationships/hyperlink" Target="https://www.researchgate.net/publication/372236494_A_Comprehensive_Survey_on_TinyML" TargetMode="External"/><Relationship Id="rId83" Type="http://schemas.openxmlformats.org/officeDocument/2006/relationships/hyperlink" Target="https://ieeexplore.ieee.org/document/9722636" TargetMode="External"/><Relationship Id="rId86" Type="http://schemas.openxmlformats.org/officeDocument/2006/relationships/hyperlink" Target="https://arxiv.org/abs/2603.27393" TargetMode="External"/><Relationship Id="rId85" Type="http://schemas.openxmlformats.org/officeDocument/2006/relationships/hyperlink" Target="https://arxiv.org/abs/2211.04448" TargetMode="External"/><Relationship Id="rId88" Type="http://schemas.openxmlformats.org/officeDocument/2006/relationships/hyperlink" Target="https://arxiv.org/abs/2106.10652" TargetMode="External"/><Relationship Id="rId150" Type="http://schemas.openxmlformats.org/officeDocument/2006/relationships/hyperlink" Target="https://proceedings.mlsys.org/paper_files/paper/2021/hash/6c44dc73014d66ba49b28d483a8f8b0d-Abstract.html" TargetMode="External"/><Relationship Id="rId87" Type="http://schemas.openxmlformats.org/officeDocument/2006/relationships/hyperlink" Target="https://arxiv.org/abs/2010.11267" TargetMode="External"/><Relationship Id="rId89" Type="http://schemas.openxmlformats.org/officeDocument/2006/relationships/hyperlink" Target="https://ieeexplore.ieee.org/document/10168657" TargetMode="External"/><Relationship Id="rId80" Type="http://schemas.openxmlformats.org/officeDocument/2006/relationships/hyperlink" Target="https://www.researchsquare.com/article/rs-8379288/v1" TargetMode="External"/><Relationship Id="rId82" Type="http://schemas.openxmlformats.org/officeDocument/2006/relationships/hyperlink" Target="https://www.researchgate.net/publication/392623064_Efficient_TinyML_Architectures_for_Anomaly_Detection_in_Industrial_IoT_Sensors" TargetMode="External"/><Relationship Id="rId81" Type="http://schemas.openxmlformats.org/officeDocument/2006/relationships/hyperlink" Target="https://arxiv.org/abs/2303.03611" TargetMode="External"/><Relationship Id="rId1" Type="http://schemas.openxmlformats.org/officeDocument/2006/relationships/comments" Target="../comments1.xml"/><Relationship Id="rId2" Type="http://schemas.openxmlformats.org/officeDocument/2006/relationships/hyperlink" Target="https://ieeexplore.ieee.org/document/10546828" TargetMode="External"/><Relationship Id="rId3" Type="http://schemas.openxmlformats.org/officeDocument/2006/relationships/hyperlink" Target="https://ieeexplore.ieee.org/document/9746093" TargetMode="External"/><Relationship Id="rId149" Type="http://schemas.openxmlformats.org/officeDocument/2006/relationships/hyperlink" Target="https://dl.acm.org/doi/10.1145/3441250.3441277" TargetMode="External"/><Relationship Id="rId4" Type="http://schemas.openxmlformats.org/officeDocument/2006/relationships/hyperlink" Target="https://ieeexplore.ieee.org/document/9797171" TargetMode="External"/><Relationship Id="rId148" Type="http://schemas.openxmlformats.org/officeDocument/2006/relationships/hyperlink" Target="https://arxiv.org/abs/2502.01700" TargetMode="External"/><Relationship Id="rId9" Type="http://schemas.openxmlformats.org/officeDocument/2006/relationships/hyperlink" Target="https://ieeexplore.ieee.org/stamp/stamp.jsp?tp=&amp;arnumber=11352794" TargetMode="External"/><Relationship Id="rId143" Type="http://schemas.openxmlformats.org/officeDocument/2006/relationships/hyperlink" Target="https://doi.org/10.1145/3615338.3618128" TargetMode="External"/><Relationship Id="rId142" Type="http://schemas.openxmlformats.org/officeDocument/2006/relationships/hyperlink" Target="https://ieeexplore.ieee.org/abstract/document/11373387?casa_token=zCM-qXsEn5sAAAAA:PS7BvtBL0n-sCNVjVhkPbK3BVIHpKwZOQYXTbVX0pmD8oS4RNEHedgLRCDCBvKFeSaupjEFjNg" TargetMode="External"/><Relationship Id="rId141" Type="http://schemas.openxmlformats.org/officeDocument/2006/relationships/hyperlink" Target="https://doi.org/10.3390/mi13060851" TargetMode="External"/><Relationship Id="rId140" Type="http://schemas.openxmlformats.org/officeDocument/2006/relationships/hyperlink" Target="https://proceedings.neurips.cc/paper/2020/hash/86c51678350f656dcc7f490a43946ee5-Abstract.html" TargetMode="External"/><Relationship Id="rId5" Type="http://schemas.openxmlformats.org/officeDocument/2006/relationships/hyperlink" Target="https://ieeexplore.ieee.org/document/11382566" TargetMode="External"/><Relationship Id="rId147" Type="http://schemas.openxmlformats.org/officeDocument/2006/relationships/hyperlink" Target="https://arxiv.org/abs/2206.11791" TargetMode="External"/><Relationship Id="rId6" Type="http://schemas.openxmlformats.org/officeDocument/2006/relationships/hyperlink" Target="https://journals.utm.my/jurnalteknologi/article/view/18744" TargetMode="External"/><Relationship Id="rId146" Type="http://schemas.openxmlformats.org/officeDocument/2006/relationships/hyperlink" Target="https://www.sciencedirect.com/science/article/pii/S1383762124001991?via%3Dihub" TargetMode="External"/><Relationship Id="rId7" Type="http://schemas.openxmlformats.org/officeDocument/2006/relationships/hyperlink" Target="https://ieeexplore.ieee.org/document/10577837" TargetMode="External"/><Relationship Id="rId145" Type="http://schemas.openxmlformats.org/officeDocument/2006/relationships/hyperlink" Target="https://doi.org/10.3390/info15110674" TargetMode="External"/><Relationship Id="rId8" Type="http://schemas.openxmlformats.org/officeDocument/2006/relationships/hyperlink" Target="https://ieeexplore.ieee.org/stamp/stamp.jsp?arnumber=10816645" TargetMode="External"/><Relationship Id="rId144" Type="http://schemas.openxmlformats.org/officeDocument/2006/relationships/hyperlink" Target="https://arxiv.org/abs/2104.10645" TargetMode="External"/><Relationship Id="rId73" Type="http://schemas.openxmlformats.org/officeDocument/2006/relationships/hyperlink" Target="https://ieeexplore.ieee.org/document/10636584" TargetMode="External"/><Relationship Id="rId72" Type="http://schemas.openxmlformats.org/officeDocument/2006/relationships/hyperlink" Target="https://www.mdpi.com/1424-8220/23/4/2344" TargetMode="External"/><Relationship Id="rId75" Type="http://schemas.openxmlformats.org/officeDocument/2006/relationships/hyperlink" Target="https://ieeexplore.ieee.org/document/9831517" TargetMode="External"/><Relationship Id="rId74" Type="http://schemas.openxmlformats.org/officeDocument/2006/relationships/hyperlink" Target="https://ieeexplore.ieee.org/document/10253705" TargetMode="External"/><Relationship Id="rId77" Type="http://schemas.openxmlformats.org/officeDocument/2006/relationships/hyperlink" Target="https://www.sciencedirect.com/science/article/pii/S2542660524003391" TargetMode="External"/><Relationship Id="rId76" Type="http://schemas.openxmlformats.org/officeDocument/2006/relationships/hyperlink" Target="https://www.sciencedirect.com/science/article/abs/pii/S0957417422020346" TargetMode="External"/><Relationship Id="rId79" Type="http://schemas.openxmlformats.org/officeDocument/2006/relationships/hyperlink" Target="https://arxiv.org/abs/2508.16553" TargetMode="External"/><Relationship Id="rId78" Type="http://schemas.openxmlformats.org/officeDocument/2006/relationships/hyperlink" Target="https://ieeexplore.ieee.org/document/11118459" TargetMode="External"/><Relationship Id="rId71" Type="http://schemas.openxmlformats.org/officeDocument/2006/relationships/hyperlink" Target="https://link.springer.com/article/10.1007/s43926-025-00142-4" TargetMode="External"/><Relationship Id="rId70" Type="http://schemas.openxmlformats.org/officeDocument/2006/relationships/hyperlink" Target="https://inass.org/wp-content/uploads/2025/04/2025083138-2.pdf" TargetMode="External"/><Relationship Id="rId139" Type="http://schemas.openxmlformats.org/officeDocument/2006/relationships/hyperlink" Target="https://doi.org/10.1007/978-3-030-95498-7_20" TargetMode="External"/><Relationship Id="rId138" Type="http://schemas.openxmlformats.org/officeDocument/2006/relationships/hyperlink" Target="https://arxiv.org/abs/2106.07597" TargetMode="External"/><Relationship Id="rId137" Type="http://schemas.openxmlformats.org/officeDocument/2006/relationships/hyperlink" Target="https://ieeexplore.ieee.org/abstract/document/9595024?casa_token=l1aVnDP7c_EAAAAA:SK8LTsrc-clL1yCZtskr8tbUXB9ubNozuUmAJ8tzmsMHslqC96GpKbOqAXmbMJQdB-ZlwwcB0A" TargetMode="External"/><Relationship Id="rId132" Type="http://schemas.openxmlformats.org/officeDocument/2006/relationships/hyperlink" Target="https://arxiv.org/abs/2003.04821" TargetMode="External"/><Relationship Id="rId131" Type="http://schemas.openxmlformats.org/officeDocument/2006/relationships/hyperlink" Target="https://ieeexplore.ieee.org/abstract/document/11373387" TargetMode="External"/><Relationship Id="rId130" Type="http://schemas.openxmlformats.org/officeDocument/2006/relationships/hyperlink" Target="https://ieeexplore.ieee.org/abstract/document/11228997?casa_token=d8dkyKdaNDAAAAAA:OMW0bg7kNp6ORHaVSpJI7NA_sqTdEqZn3fmLwXrLrtOrqPUQWRKto0vwCv3QaAwDmd9Ce66qdA" TargetMode="External"/><Relationship Id="rId136" Type="http://schemas.openxmlformats.org/officeDocument/2006/relationships/hyperlink" Target="https://ieeexplore.ieee.org/abstract/document/9617799?casa_token=XON4L9gADgAAAAAA:48-iJGiA8M6_Z9xWALaI7hkNorX68NnX8ZHcGgmuaXO1x1C7UAk40wLqc02Wg3fOp1iTvfMT0g" TargetMode="External"/><Relationship Id="rId135" Type="http://schemas.openxmlformats.org/officeDocument/2006/relationships/hyperlink" Target="https://www.sciencedirect.com/science/article/pii/S2542660522001512?casa_token=GATDh7pOmbAAAAAA:IUKCKZId48p1IheX8ErSWjFoFTeaYjHQQnqXv7rFrud3DRxQ0JYD8bI5o3h587UXpbzDwRPCyA" TargetMode="External"/><Relationship Id="rId134" Type="http://schemas.openxmlformats.org/officeDocument/2006/relationships/hyperlink" Target="https://ieeexplore.ieee.org/abstract/document/9721895" TargetMode="External"/><Relationship Id="rId133" Type="http://schemas.openxmlformats.org/officeDocument/2006/relationships/hyperlink" Target="https://arxiv.org/abs/1804.03209" TargetMode="External"/><Relationship Id="rId62" Type="http://schemas.openxmlformats.org/officeDocument/2006/relationships/hyperlink" Target="https://www.mdpi.com/1424-8220/23/7/3586" TargetMode="External"/><Relationship Id="rId61" Type="http://schemas.openxmlformats.org/officeDocument/2006/relationships/hyperlink" Target="https://ieeexplore.ieee.org/document/11091675" TargetMode="External"/><Relationship Id="rId64" Type="http://schemas.openxmlformats.org/officeDocument/2006/relationships/hyperlink" Target="https://www.researchgate.net/publication/361525485_Infrastructure-free_Deep_Learned_Urban_Noise_Monitoring_at_100mW" TargetMode="External"/><Relationship Id="rId63" Type="http://schemas.openxmlformats.org/officeDocument/2006/relationships/hyperlink" Target="https://www.sciencedirect.com/science/article/pii/S2542660523001713" TargetMode="External"/><Relationship Id="rId66" Type="http://schemas.openxmlformats.org/officeDocument/2006/relationships/hyperlink" Target="https://www.researchgate.net/publication/390157620_Optimization_of_Waste_Management_Disposal_Using_Edge_Impulse_Studio_on_Tiny-Machine_Learning_Tiny-ML" TargetMode="External"/><Relationship Id="rId65" Type="http://schemas.openxmlformats.org/officeDocument/2006/relationships/hyperlink" Target="https://pdfs.semanticscholar.org/e26b/626ec32d6dc39ce167b4657af22e365cf4e3.pdf" TargetMode="External"/><Relationship Id="rId68" Type="http://schemas.openxmlformats.org/officeDocument/2006/relationships/hyperlink" Target="https://www.techscience.com/cmc/v80n1/57380" TargetMode="External"/><Relationship Id="rId67" Type="http://schemas.openxmlformats.org/officeDocument/2006/relationships/hyperlink" Target="https://www.mdpi.com/1424-8220/22/5/2006" TargetMode="External"/><Relationship Id="rId60" Type="http://schemas.openxmlformats.org/officeDocument/2006/relationships/hyperlink" Target="https://ieeexplore.ieee.org/document/9556173" TargetMode="External"/><Relationship Id="rId69" Type="http://schemas.openxmlformats.org/officeDocument/2006/relationships/hyperlink" Target="https://www.nature.com/articles/s41598-025-00762-4" TargetMode="External"/><Relationship Id="rId51" Type="http://schemas.openxmlformats.org/officeDocument/2006/relationships/hyperlink" Target="https://www.mdpi.com/1424-8220/24/13/4124" TargetMode="External"/><Relationship Id="rId50" Type="http://schemas.openxmlformats.org/officeDocument/2006/relationships/hyperlink" Target="https://ieeexplore.ieee.org/document/10251587" TargetMode="External"/><Relationship Id="rId53" Type="http://schemas.openxmlformats.org/officeDocument/2006/relationships/hyperlink" Target="https://ieeexplore.ieee.org/document/10409357" TargetMode="External"/><Relationship Id="rId52" Type="http://schemas.openxmlformats.org/officeDocument/2006/relationships/hyperlink" Target="https://ieeexplore.ieee.org/document/10885641" TargetMode="External"/><Relationship Id="rId55" Type="http://schemas.openxmlformats.org/officeDocument/2006/relationships/hyperlink" Target="https://ieeexplore.ieee.org/document/10093891" TargetMode="External"/><Relationship Id="rId54" Type="http://schemas.openxmlformats.org/officeDocument/2006/relationships/hyperlink" Target="https://ieeexplore.ieee.org/document/11205590" TargetMode="External"/><Relationship Id="rId57" Type="http://schemas.openxmlformats.org/officeDocument/2006/relationships/hyperlink" Target="https://ieeexplore.ieee.org/document/10902942" TargetMode="External"/><Relationship Id="rId56" Type="http://schemas.openxmlformats.org/officeDocument/2006/relationships/hyperlink" Target="https://ieeexplore.ieee.org/document/10219132/" TargetMode="External"/><Relationship Id="rId59" Type="http://schemas.openxmlformats.org/officeDocument/2006/relationships/hyperlink" Target="https://ieeexplore.ieee.org/document/11224761" TargetMode="External"/><Relationship Id="rId58" Type="http://schemas.openxmlformats.org/officeDocument/2006/relationships/hyperlink" Target="https://ieeexplore.ieee.org/document/11340545" TargetMode="External"/><Relationship Id="rId153" Type="http://schemas.openxmlformats.org/officeDocument/2006/relationships/vmlDrawing" Target="../drawings/vmlDrawing1.vml"/><Relationship Id="rId152" Type="http://schemas.openxmlformats.org/officeDocument/2006/relationships/drawing" Target="../drawings/drawing1.xml"/><Relationship Id="rId151" Type="http://schemas.openxmlformats.org/officeDocument/2006/relationships/hyperlink" Target="https://arxiv.org/abs/2410.1203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5"/>
    <col customWidth="1" min="2" max="4" width="12.63"/>
    <col customWidth="1" min="5" max="5" width="32.0"/>
    <col customWidth="1" min="6" max="6" width="12.63"/>
    <col customWidth="1" min="10" max="11" width="12.5"/>
    <col customWidth="1" min="12" max="12" width="14.38"/>
    <col customWidth="1" min="13" max="13" width="19.38"/>
    <col customWidth="1" min="14" max="14" width="18.5"/>
  </cols>
  <sheetData>
    <row r="1">
      <c r="A1" s="1" t="s">
        <v>0</v>
      </c>
      <c r="B1" s="2" t="s">
        <v>1</v>
      </c>
      <c r="C1" s="3" t="s">
        <v>2</v>
      </c>
      <c r="D1" s="3" t="s">
        <v>3</v>
      </c>
      <c r="E1" s="3" t="s">
        <v>4</v>
      </c>
      <c r="F1" s="3" t="s">
        <v>5</v>
      </c>
      <c r="G1" s="3" t="s">
        <v>6</v>
      </c>
      <c r="H1" s="3" t="s">
        <v>7</v>
      </c>
      <c r="I1" s="3" t="s">
        <v>8</v>
      </c>
      <c r="J1" s="1" t="s">
        <v>9</v>
      </c>
      <c r="K1" s="1" t="s">
        <v>10</v>
      </c>
      <c r="L1" s="3" t="s">
        <v>11</v>
      </c>
      <c r="M1" s="3" t="s">
        <v>12</v>
      </c>
      <c r="N1" s="3" t="s">
        <v>13</v>
      </c>
      <c r="P1" s="4" t="s">
        <v>14</v>
      </c>
      <c r="Q1" s="5">
        <f>COUNTIF(K:K,"Include")</f>
        <v>104</v>
      </c>
      <c r="R1" s="4" t="s">
        <v>15</v>
      </c>
      <c r="S1" s="5">
        <f>COUNTIF(J:J,"Yes")</f>
        <v>140</v>
      </c>
    </row>
    <row r="2">
      <c r="A2" s="6" t="s">
        <v>16</v>
      </c>
      <c r="B2" s="7" t="s">
        <v>17</v>
      </c>
      <c r="C2" s="8" t="s">
        <v>18</v>
      </c>
      <c r="D2" s="9" t="s">
        <v>19</v>
      </c>
      <c r="E2" s="10" t="s">
        <v>20</v>
      </c>
      <c r="F2" s="11" t="s">
        <v>21</v>
      </c>
      <c r="G2" s="11" t="s">
        <v>22</v>
      </c>
      <c r="H2" s="11" t="s">
        <v>23</v>
      </c>
      <c r="I2" s="11" t="s">
        <v>24</v>
      </c>
      <c r="J2" s="12" t="s">
        <v>25</v>
      </c>
      <c r="K2" s="12" t="s">
        <v>24</v>
      </c>
      <c r="L2" s="11" t="s">
        <v>26</v>
      </c>
      <c r="M2" s="11" t="s">
        <v>27</v>
      </c>
      <c r="N2" s="13" t="s">
        <v>28</v>
      </c>
      <c r="P2" s="4" t="s">
        <v>29</v>
      </c>
      <c r="Q2" s="5">
        <f>COUNTIF(K:K,"Exclude")</f>
        <v>47</v>
      </c>
      <c r="R2" s="4" t="s">
        <v>30</v>
      </c>
      <c r="S2" s="5">
        <f>COUNTIF(J:J,"No")</f>
        <v>11</v>
      </c>
    </row>
    <row r="3" ht="13.5" customHeight="1">
      <c r="A3" s="6" t="s">
        <v>31</v>
      </c>
      <c r="B3" s="14"/>
      <c r="C3" s="15"/>
      <c r="E3" s="16"/>
      <c r="F3" s="14"/>
      <c r="G3" s="11" t="s">
        <v>22</v>
      </c>
      <c r="H3" s="12" t="s">
        <v>32</v>
      </c>
      <c r="I3" s="12" t="s">
        <v>24</v>
      </c>
      <c r="J3" s="14"/>
      <c r="K3" s="14"/>
      <c r="L3" s="12" t="s">
        <v>33</v>
      </c>
      <c r="M3" s="12" t="s">
        <v>34</v>
      </c>
      <c r="N3" s="14"/>
      <c r="P3" s="4" t="s">
        <v>35</v>
      </c>
      <c r="Q3" s="17">
        <f>S1/(S1+S2)</f>
        <v>0.9271523179</v>
      </c>
      <c r="R3" s="5"/>
      <c r="S3" s="5"/>
    </row>
    <row r="4">
      <c r="A4" s="6" t="s">
        <v>36</v>
      </c>
      <c r="B4" s="18" t="s">
        <v>37</v>
      </c>
      <c r="C4" s="8" t="s">
        <v>18</v>
      </c>
      <c r="D4" s="9" t="s">
        <v>19</v>
      </c>
      <c r="E4" s="10" t="s">
        <v>38</v>
      </c>
      <c r="F4" s="11" t="s">
        <v>21</v>
      </c>
      <c r="G4" s="11" t="s">
        <v>22</v>
      </c>
      <c r="H4" s="11" t="s">
        <v>23</v>
      </c>
      <c r="I4" s="11" t="s">
        <v>24</v>
      </c>
      <c r="J4" s="12" t="s">
        <v>25</v>
      </c>
      <c r="K4" s="12" t="s">
        <v>24</v>
      </c>
      <c r="L4" s="11" t="s">
        <v>26</v>
      </c>
      <c r="M4" s="11" t="s">
        <v>39</v>
      </c>
      <c r="N4" s="19" t="s">
        <v>40</v>
      </c>
      <c r="Q4" s="20" t="s">
        <v>41</v>
      </c>
    </row>
    <row r="5">
      <c r="A5" s="6" t="s">
        <v>42</v>
      </c>
      <c r="B5" s="14"/>
      <c r="C5" s="15"/>
      <c r="E5" s="16"/>
      <c r="F5" s="14"/>
      <c r="G5" s="11" t="s">
        <v>22</v>
      </c>
      <c r="H5" s="12" t="s">
        <v>32</v>
      </c>
      <c r="I5" s="12" t="s">
        <v>24</v>
      </c>
      <c r="J5" s="14"/>
      <c r="K5" s="14"/>
      <c r="L5" s="11" t="s">
        <v>26</v>
      </c>
      <c r="M5" s="20" t="s">
        <v>43</v>
      </c>
      <c r="N5" s="14"/>
    </row>
    <row r="6">
      <c r="A6" s="6" t="s">
        <v>44</v>
      </c>
      <c r="B6" s="11" t="s">
        <v>45</v>
      </c>
      <c r="C6" s="11" t="s">
        <v>18</v>
      </c>
      <c r="D6" s="9" t="s">
        <v>19</v>
      </c>
      <c r="E6" s="11" t="s">
        <v>46</v>
      </c>
      <c r="F6" s="11" t="s">
        <v>21</v>
      </c>
      <c r="G6" s="11" t="s">
        <v>22</v>
      </c>
      <c r="H6" s="11" t="s">
        <v>23</v>
      </c>
      <c r="I6" s="11" t="s">
        <v>47</v>
      </c>
      <c r="J6" s="12" t="s">
        <v>25</v>
      </c>
      <c r="K6" s="12" t="s">
        <v>47</v>
      </c>
      <c r="L6" s="11" t="s">
        <v>48</v>
      </c>
      <c r="M6" s="11" t="s">
        <v>49</v>
      </c>
      <c r="N6" s="19" t="s">
        <v>50</v>
      </c>
    </row>
    <row r="7">
      <c r="A7" s="6" t="s">
        <v>51</v>
      </c>
      <c r="B7" s="14"/>
      <c r="C7" s="14"/>
      <c r="E7" s="14"/>
      <c r="F7" s="14"/>
      <c r="G7" s="11" t="s">
        <v>22</v>
      </c>
      <c r="H7" s="12" t="s">
        <v>32</v>
      </c>
      <c r="I7" s="12" t="s">
        <v>47</v>
      </c>
      <c r="J7" s="14"/>
      <c r="K7" s="14"/>
      <c r="L7" s="12" t="s">
        <v>48</v>
      </c>
      <c r="M7" s="20" t="s">
        <v>52</v>
      </c>
      <c r="N7" s="14"/>
    </row>
    <row r="8">
      <c r="A8" s="6" t="s">
        <v>53</v>
      </c>
      <c r="B8" s="11" t="s">
        <v>54</v>
      </c>
      <c r="C8" s="11" t="s">
        <v>18</v>
      </c>
      <c r="D8" s="9" t="s">
        <v>19</v>
      </c>
      <c r="E8" s="11" t="s">
        <v>55</v>
      </c>
      <c r="F8" s="11" t="s">
        <v>21</v>
      </c>
      <c r="G8" s="11" t="s">
        <v>22</v>
      </c>
      <c r="H8" s="11" t="s">
        <v>23</v>
      </c>
      <c r="I8" s="11" t="s">
        <v>47</v>
      </c>
      <c r="J8" s="12" t="s">
        <v>25</v>
      </c>
      <c r="K8" s="12" t="s">
        <v>47</v>
      </c>
      <c r="L8" s="11" t="s">
        <v>48</v>
      </c>
      <c r="M8" s="11" t="s">
        <v>56</v>
      </c>
      <c r="N8" s="19" t="s">
        <v>57</v>
      </c>
    </row>
    <row r="9" ht="15.75" customHeight="1">
      <c r="A9" s="6" t="s">
        <v>58</v>
      </c>
      <c r="B9" s="14"/>
      <c r="C9" s="14"/>
      <c r="E9" s="14"/>
      <c r="F9" s="14"/>
      <c r="G9" s="11" t="s">
        <v>22</v>
      </c>
      <c r="H9" s="12" t="s">
        <v>32</v>
      </c>
      <c r="I9" s="12" t="s">
        <v>47</v>
      </c>
      <c r="J9" s="14"/>
      <c r="K9" s="14"/>
      <c r="L9" s="12" t="s">
        <v>48</v>
      </c>
      <c r="M9" s="12" t="s">
        <v>59</v>
      </c>
      <c r="N9" s="14"/>
    </row>
    <row r="10">
      <c r="A10" s="6" t="s">
        <v>60</v>
      </c>
      <c r="B10" s="11" t="s">
        <v>61</v>
      </c>
      <c r="C10" s="11" t="s">
        <v>18</v>
      </c>
      <c r="D10" s="9" t="s">
        <v>62</v>
      </c>
      <c r="E10" s="11" t="s">
        <v>63</v>
      </c>
      <c r="F10" s="11" t="s">
        <v>21</v>
      </c>
      <c r="G10" s="11" t="s">
        <v>22</v>
      </c>
      <c r="H10" s="11" t="s">
        <v>23</v>
      </c>
      <c r="I10" s="11" t="s">
        <v>47</v>
      </c>
      <c r="J10" s="12" t="s">
        <v>25</v>
      </c>
      <c r="K10" s="12" t="s">
        <v>47</v>
      </c>
      <c r="L10" s="11" t="s">
        <v>48</v>
      </c>
      <c r="M10" s="11" t="s">
        <v>64</v>
      </c>
      <c r="N10" s="19" t="s">
        <v>65</v>
      </c>
    </row>
    <row r="11">
      <c r="A11" s="6" t="s">
        <v>66</v>
      </c>
      <c r="B11" s="14"/>
      <c r="C11" s="14"/>
      <c r="E11" s="14"/>
      <c r="F11" s="14"/>
      <c r="G11" s="11" t="s">
        <v>22</v>
      </c>
      <c r="H11" s="12" t="s">
        <v>32</v>
      </c>
      <c r="I11" s="12" t="s">
        <v>47</v>
      </c>
      <c r="J11" s="14"/>
      <c r="K11" s="14"/>
      <c r="L11" s="12" t="s">
        <v>48</v>
      </c>
      <c r="M11" s="12" t="s">
        <v>67</v>
      </c>
      <c r="N11" s="14"/>
    </row>
    <row r="12">
      <c r="A12" s="6" t="s">
        <v>68</v>
      </c>
      <c r="B12" s="11" t="s">
        <v>69</v>
      </c>
      <c r="C12" s="11" t="s">
        <v>18</v>
      </c>
      <c r="D12" s="9" t="s">
        <v>19</v>
      </c>
      <c r="E12" s="11" t="s">
        <v>70</v>
      </c>
      <c r="F12" s="11" t="s">
        <v>21</v>
      </c>
      <c r="G12" s="11" t="s">
        <v>22</v>
      </c>
      <c r="H12" s="11" t="s">
        <v>23</v>
      </c>
      <c r="I12" s="11" t="s">
        <v>47</v>
      </c>
      <c r="J12" s="12" t="s">
        <v>25</v>
      </c>
      <c r="K12" s="12" t="s">
        <v>47</v>
      </c>
      <c r="L12" s="11" t="s">
        <v>48</v>
      </c>
      <c r="M12" s="11" t="s">
        <v>71</v>
      </c>
      <c r="N12" s="19" t="s">
        <v>72</v>
      </c>
    </row>
    <row r="13" ht="15.75" customHeight="1">
      <c r="A13" s="6" t="s">
        <v>73</v>
      </c>
      <c r="B13" s="14"/>
      <c r="C13" s="14"/>
      <c r="E13" s="14"/>
      <c r="F13" s="14"/>
      <c r="G13" s="11" t="s">
        <v>22</v>
      </c>
      <c r="H13" s="12" t="s">
        <v>32</v>
      </c>
      <c r="I13" s="12" t="s">
        <v>47</v>
      </c>
      <c r="J13" s="14"/>
      <c r="K13" s="14"/>
      <c r="L13" s="12" t="s">
        <v>48</v>
      </c>
      <c r="M13" s="20" t="s">
        <v>52</v>
      </c>
      <c r="N13" s="14"/>
    </row>
    <row r="14" ht="15.75" customHeight="1">
      <c r="A14" s="6" t="s">
        <v>74</v>
      </c>
      <c r="B14" s="12" t="s">
        <v>75</v>
      </c>
      <c r="C14" s="11" t="s">
        <v>18</v>
      </c>
      <c r="D14" s="9" t="s">
        <v>19</v>
      </c>
      <c r="E14" s="11" t="s">
        <v>76</v>
      </c>
      <c r="F14" s="21">
        <v>46026.0</v>
      </c>
      <c r="G14" s="11" t="s">
        <v>22</v>
      </c>
      <c r="H14" s="12" t="s">
        <v>23</v>
      </c>
      <c r="I14" s="12" t="s">
        <v>47</v>
      </c>
      <c r="J14" s="12" t="s">
        <v>25</v>
      </c>
      <c r="K14" s="12" t="s">
        <v>47</v>
      </c>
      <c r="L14" s="12" t="s">
        <v>48</v>
      </c>
      <c r="M14" s="12" t="s">
        <v>77</v>
      </c>
      <c r="N14" s="22" t="s">
        <v>78</v>
      </c>
    </row>
    <row r="15" ht="15.75" customHeight="1">
      <c r="A15" s="6" t="s">
        <v>79</v>
      </c>
      <c r="B15" s="14"/>
      <c r="C15" s="14"/>
      <c r="E15" s="14"/>
      <c r="G15" s="11" t="s">
        <v>22</v>
      </c>
      <c r="H15" s="12" t="s">
        <v>32</v>
      </c>
      <c r="I15" s="12" t="s">
        <v>47</v>
      </c>
      <c r="J15" s="14"/>
      <c r="K15" s="14"/>
      <c r="L15" s="12" t="s">
        <v>48</v>
      </c>
      <c r="M15" s="12" t="s">
        <v>80</v>
      </c>
      <c r="N15" s="14"/>
    </row>
    <row r="16" ht="15.75" customHeight="1">
      <c r="A16" s="6" t="s">
        <v>81</v>
      </c>
      <c r="B16" s="12" t="s">
        <v>82</v>
      </c>
      <c r="C16" s="11" t="s">
        <v>18</v>
      </c>
      <c r="D16" s="9" t="s">
        <v>19</v>
      </c>
      <c r="E16" s="11" t="s">
        <v>76</v>
      </c>
      <c r="F16" s="21">
        <v>46026.0</v>
      </c>
      <c r="G16" s="11" t="s">
        <v>22</v>
      </c>
      <c r="H16" s="12" t="s">
        <v>23</v>
      </c>
      <c r="I16" s="12" t="s">
        <v>47</v>
      </c>
      <c r="J16" s="12" t="s">
        <v>25</v>
      </c>
      <c r="K16" s="12" t="s">
        <v>47</v>
      </c>
      <c r="L16" s="12" t="s">
        <v>48</v>
      </c>
      <c r="M16" s="12" t="s">
        <v>83</v>
      </c>
      <c r="N16" s="22" t="s">
        <v>84</v>
      </c>
    </row>
    <row r="17" ht="15.75" customHeight="1">
      <c r="A17" s="6" t="s">
        <v>85</v>
      </c>
      <c r="B17" s="14"/>
      <c r="C17" s="14"/>
      <c r="E17" s="14"/>
      <c r="G17" s="11" t="s">
        <v>22</v>
      </c>
      <c r="H17" s="12" t="s">
        <v>32</v>
      </c>
      <c r="I17" s="12" t="s">
        <v>47</v>
      </c>
      <c r="J17" s="14"/>
      <c r="K17" s="14"/>
      <c r="L17" s="12" t="s">
        <v>48</v>
      </c>
      <c r="M17" s="12" t="s">
        <v>86</v>
      </c>
      <c r="N17" s="14"/>
    </row>
    <row r="18" ht="15.75" customHeight="1">
      <c r="A18" s="6" t="s">
        <v>87</v>
      </c>
      <c r="B18" s="12" t="s">
        <v>88</v>
      </c>
      <c r="C18" s="11" t="s">
        <v>18</v>
      </c>
      <c r="D18" s="11" t="s">
        <v>19</v>
      </c>
      <c r="E18" s="11" t="s">
        <v>89</v>
      </c>
      <c r="F18" s="21">
        <v>46026.0</v>
      </c>
      <c r="G18" s="11" t="s">
        <v>22</v>
      </c>
      <c r="H18" s="12" t="s">
        <v>23</v>
      </c>
      <c r="I18" s="12" t="s">
        <v>47</v>
      </c>
      <c r="J18" s="12" t="s">
        <v>25</v>
      </c>
      <c r="K18" s="12" t="s">
        <v>47</v>
      </c>
      <c r="L18" s="12" t="s">
        <v>48</v>
      </c>
      <c r="M18" s="12" t="s">
        <v>90</v>
      </c>
      <c r="N18" s="22" t="s">
        <v>91</v>
      </c>
    </row>
    <row r="19" ht="15.75" customHeight="1">
      <c r="A19" s="6" t="s">
        <v>92</v>
      </c>
      <c r="B19" s="14"/>
      <c r="C19" s="14"/>
      <c r="D19" s="14"/>
      <c r="E19" s="14"/>
      <c r="G19" s="11" t="s">
        <v>22</v>
      </c>
      <c r="H19" s="12" t="s">
        <v>32</v>
      </c>
      <c r="I19" s="12" t="s">
        <v>47</v>
      </c>
      <c r="J19" s="14"/>
      <c r="K19" s="14"/>
      <c r="L19" s="12" t="s">
        <v>48</v>
      </c>
      <c r="M19" s="12" t="s">
        <v>93</v>
      </c>
      <c r="N19" s="14"/>
    </row>
    <row r="20" ht="15.75" customHeight="1">
      <c r="A20" s="6" t="s">
        <v>94</v>
      </c>
      <c r="B20" s="12" t="s">
        <v>95</v>
      </c>
      <c r="C20" s="11" t="s">
        <v>18</v>
      </c>
      <c r="D20" s="11" t="s">
        <v>19</v>
      </c>
      <c r="E20" s="11" t="s">
        <v>96</v>
      </c>
      <c r="F20" s="21">
        <v>46116.0</v>
      </c>
      <c r="G20" s="11" t="s">
        <v>22</v>
      </c>
      <c r="H20" s="12" t="s">
        <v>23</v>
      </c>
      <c r="I20" s="12" t="s">
        <v>24</v>
      </c>
      <c r="J20" s="12" t="s">
        <v>25</v>
      </c>
      <c r="K20" s="12" t="s">
        <v>24</v>
      </c>
      <c r="L20" s="12" t="s">
        <v>97</v>
      </c>
      <c r="M20" s="12" t="s">
        <v>98</v>
      </c>
      <c r="N20" s="22" t="s">
        <v>99</v>
      </c>
    </row>
    <row r="21" ht="15.75" customHeight="1">
      <c r="A21" s="6" t="s">
        <v>100</v>
      </c>
      <c r="B21" s="14"/>
      <c r="C21" s="14"/>
      <c r="D21" s="14"/>
      <c r="E21" s="14"/>
      <c r="G21" s="11" t="s">
        <v>22</v>
      </c>
      <c r="H21" s="12" t="s">
        <v>32</v>
      </c>
      <c r="I21" s="12" t="s">
        <v>24</v>
      </c>
      <c r="J21" s="14"/>
      <c r="K21" s="14"/>
      <c r="L21" s="12" t="s">
        <v>97</v>
      </c>
      <c r="M21" s="12" t="s">
        <v>101</v>
      </c>
      <c r="N21" s="14"/>
    </row>
    <row r="22" ht="15.75" customHeight="1">
      <c r="A22" s="6" t="s">
        <v>102</v>
      </c>
      <c r="B22" s="12" t="s">
        <v>103</v>
      </c>
      <c r="C22" s="11" t="s">
        <v>18</v>
      </c>
      <c r="D22" s="11" t="s">
        <v>19</v>
      </c>
      <c r="E22" s="11" t="s">
        <v>96</v>
      </c>
      <c r="F22" s="21">
        <v>46116.0</v>
      </c>
      <c r="G22" s="11" t="s">
        <v>22</v>
      </c>
      <c r="H22" s="12" t="s">
        <v>23</v>
      </c>
      <c r="I22" s="12" t="s">
        <v>24</v>
      </c>
      <c r="J22" s="12" t="s">
        <v>25</v>
      </c>
      <c r="K22" s="12" t="s">
        <v>24</v>
      </c>
      <c r="L22" s="12" t="s">
        <v>104</v>
      </c>
      <c r="M22" s="12" t="s">
        <v>105</v>
      </c>
      <c r="N22" s="22" t="s">
        <v>106</v>
      </c>
    </row>
    <row r="23" ht="15.75" customHeight="1">
      <c r="A23" s="6" t="s">
        <v>107</v>
      </c>
      <c r="B23" s="14"/>
      <c r="C23" s="14"/>
      <c r="D23" s="14"/>
      <c r="E23" s="14"/>
      <c r="G23" s="11" t="s">
        <v>22</v>
      </c>
      <c r="H23" s="12" t="s">
        <v>32</v>
      </c>
      <c r="I23" s="12" t="s">
        <v>24</v>
      </c>
      <c r="J23" s="14"/>
      <c r="K23" s="14"/>
      <c r="L23" s="12" t="s">
        <v>104</v>
      </c>
      <c r="M23" s="20" t="s">
        <v>108</v>
      </c>
      <c r="N23" s="14"/>
    </row>
    <row r="24" ht="15.75" customHeight="1">
      <c r="A24" s="6" t="s">
        <v>109</v>
      </c>
      <c r="B24" s="12" t="s">
        <v>110</v>
      </c>
      <c r="C24" s="11" t="s">
        <v>18</v>
      </c>
      <c r="D24" s="11" t="s">
        <v>19</v>
      </c>
      <c r="E24" s="11" t="s">
        <v>96</v>
      </c>
      <c r="F24" s="21">
        <v>46116.0</v>
      </c>
      <c r="G24" s="11" t="s">
        <v>22</v>
      </c>
      <c r="H24" s="12" t="s">
        <v>23</v>
      </c>
      <c r="I24" s="12" t="s">
        <v>24</v>
      </c>
      <c r="J24" s="12" t="s">
        <v>25</v>
      </c>
      <c r="K24" s="12" t="s">
        <v>24</v>
      </c>
      <c r="L24" s="12" t="s">
        <v>26</v>
      </c>
      <c r="M24" s="12" t="s">
        <v>111</v>
      </c>
      <c r="N24" s="13" t="s">
        <v>112</v>
      </c>
    </row>
    <row r="25" ht="15.75" customHeight="1">
      <c r="A25" s="6" t="s">
        <v>113</v>
      </c>
      <c r="B25" s="14"/>
      <c r="C25" s="14"/>
      <c r="D25" s="14"/>
      <c r="E25" s="14"/>
      <c r="G25" s="11" t="s">
        <v>22</v>
      </c>
      <c r="H25" s="12" t="s">
        <v>32</v>
      </c>
      <c r="I25" s="12" t="s">
        <v>24</v>
      </c>
      <c r="J25" s="14"/>
      <c r="K25" s="14"/>
      <c r="L25" s="12" t="s">
        <v>26</v>
      </c>
      <c r="M25" s="12" t="s">
        <v>114</v>
      </c>
      <c r="N25" s="14"/>
    </row>
    <row r="26" ht="15.75" customHeight="1">
      <c r="A26" s="6" t="s">
        <v>115</v>
      </c>
      <c r="B26" s="12" t="s">
        <v>116</v>
      </c>
      <c r="C26" s="11" t="s">
        <v>18</v>
      </c>
      <c r="D26" s="11" t="s">
        <v>19</v>
      </c>
      <c r="E26" s="11" t="s">
        <v>96</v>
      </c>
      <c r="F26" s="21">
        <v>46116.0</v>
      </c>
      <c r="G26" s="11" t="s">
        <v>22</v>
      </c>
      <c r="H26" s="12" t="s">
        <v>23</v>
      </c>
      <c r="I26" s="12" t="s">
        <v>24</v>
      </c>
      <c r="J26" s="12" t="s">
        <v>25</v>
      </c>
      <c r="K26" s="12" t="s">
        <v>24</v>
      </c>
      <c r="L26" s="12" t="s">
        <v>26</v>
      </c>
      <c r="M26" s="12" t="s">
        <v>117</v>
      </c>
      <c r="N26" s="22" t="s">
        <v>118</v>
      </c>
    </row>
    <row r="27" ht="15.75" customHeight="1">
      <c r="A27" s="6" t="s">
        <v>119</v>
      </c>
      <c r="B27" s="14"/>
      <c r="C27" s="14"/>
      <c r="D27" s="14"/>
      <c r="E27" s="14"/>
      <c r="G27" s="11" t="s">
        <v>22</v>
      </c>
      <c r="H27" s="12" t="s">
        <v>32</v>
      </c>
      <c r="I27" s="12" t="s">
        <v>24</v>
      </c>
      <c r="J27" s="14"/>
      <c r="K27" s="14"/>
      <c r="L27" s="12" t="s">
        <v>26</v>
      </c>
      <c r="M27" s="12" t="s">
        <v>120</v>
      </c>
      <c r="N27" s="14"/>
    </row>
    <row r="28" ht="15.75" customHeight="1">
      <c r="A28" s="6" t="s">
        <v>121</v>
      </c>
      <c r="B28" s="12" t="s">
        <v>122</v>
      </c>
      <c r="C28" s="11" t="s">
        <v>18</v>
      </c>
      <c r="D28" s="11" t="s">
        <v>19</v>
      </c>
      <c r="E28" s="11" t="s">
        <v>96</v>
      </c>
      <c r="F28" s="21">
        <v>46116.0</v>
      </c>
      <c r="G28" s="11" t="s">
        <v>22</v>
      </c>
      <c r="H28" s="12" t="s">
        <v>23</v>
      </c>
      <c r="I28" s="12" t="s">
        <v>47</v>
      </c>
      <c r="J28" s="12" t="s">
        <v>25</v>
      </c>
      <c r="K28" s="12" t="s">
        <v>47</v>
      </c>
      <c r="L28" s="12" t="s">
        <v>48</v>
      </c>
      <c r="M28" s="12" t="s">
        <v>123</v>
      </c>
      <c r="N28" s="22" t="s">
        <v>124</v>
      </c>
    </row>
    <row r="29" ht="15.75" customHeight="1">
      <c r="A29" s="6" t="s">
        <v>125</v>
      </c>
      <c r="B29" s="14"/>
      <c r="C29" s="14"/>
      <c r="D29" s="14"/>
      <c r="E29" s="14"/>
      <c r="G29" s="11" t="s">
        <v>22</v>
      </c>
      <c r="H29" s="12" t="s">
        <v>32</v>
      </c>
      <c r="I29" s="12" t="s">
        <v>47</v>
      </c>
      <c r="J29" s="14"/>
      <c r="K29" s="14"/>
      <c r="L29" s="12" t="s">
        <v>48</v>
      </c>
      <c r="M29" s="12" t="s">
        <v>59</v>
      </c>
      <c r="N29" s="14"/>
    </row>
    <row r="30" ht="15.75" customHeight="1">
      <c r="A30" s="6" t="s">
        <v>126</v>
      </c>
      <c r="B30" s="12" t="s">
        <v>127</v>
      </c>
      <c r="C30" s="11" t="s">
        <v>18</v>
      </c>
      <c r="D30" s="11" t="s">
        <v>128</v>
      </c>
      <c r="E30" s="11" t="s">
        <v>96</v>
      </c>
      <c r="F30" s="21">
        <v>46116.0</v>
      </c>
      <c r="G30" s="11" t="s">
        <v>22</v>
      </c>
      <c r="H30" s="12" t="s">
        <v>23</v>
      </c>
      <c r="I30" s="12" t="s">
        <v>47</v>
      </c>
      <c r="J30" s="12" t="s">
        <v>25</v>
      </c>
      <c r="K30" s="12" t="s">
        <v>47</v>
      </c>
      <c r="L30" s="12" t="s">
        <v>48</v>
      </c>
      <c r="M30" s="12" t="s">
        <v>129</v>
      </c>
      <c r="N30" s="12" t="s">
        <v>129</v>
      </c>
    </row>
    <row r="31" ht="15.75" customHeight="1">
      <c r="A31" s="6" t="s">
        <v>130</v>
      </c>
      <c r="B31" s="14"/>
      <c r="C31" s="14"/>
      <c r="D31" s="14"/>
      <c r="E31" s="14"/>
      <c r="G31" s="11" t="s">
        <v>22</v>
      </c>
      <c r="H31" s="12" t="s">
        <v>32</v>
      </c>
      <c r="I31" s="12" t="s">
        <v>47</v>
      </c>
      <c r="J31" s="14"/>
      <c r="K31" s="14"/>
      <c r="L31" s="12" t="s">
        <v>48</v>
      </c>
      <c r="M31" s="12" t="s">
        <v>131</v>
      </c>
      <c r="N31" s="12" t="s">
        <v>131</v>
      </c>
    </row>
    <row r="32" ht="15.75" customHeight="1">
      <c r="A32" s="6" t="s">
        <v>132</v>
      </c>
      <c r="B32" s="12" t="s">
        <v>133</v>
      </c>
      <c r="C32" s="11" t="s">
        <v>18</v>
      </c>
      <c r="D32" s="11" t="s">
        <v>19</v>
      </c>
      <c r="E32" s="11" t="s">
        <v>96</v>
      </c>
      <c r="F32" s="21">
        <v>46116.0</v>
      </c>
      <c r="G32" s="11" t="s">
        <v>22</v>
      </c>
      <c r="H32" s="12" t="s">
        <v>23</v>
      </c>
      <c r="I32" s="12" t="s">
        <v>47</v>
      </c>
      <c r="J32" s="12" t="s">
        <v>25</v>
      </c>
      <c r="K32" s="12" t="s">
        <v>47</v>
      </c>
      <c r="L32" s="12" t="s">
        <v>48</v>
      </c>
      <c r="M32" s="12" t="s">
        <v>134</v>
      </c>
      <c r="N32" s="22" t="s">
        <v>135</v>
      </c>
    </row>
    <row r="33" ht="15.75" customHeight="1">
      <c r="A33" s="6" t="s">
        <v>136</v>
      </c>
      <c r="B33" s="14"/>
      <c r="C33" s="14"/>
      <c r="D33" s="14"/>
      <c r="E33" s="14"/>
      <c r="G33" s="11" t="s">
        <v>22</v>
      </c>
      <c r="H33" s="12" t="s">
        <v>32</v>
      </c>
      <c r="I33" s="12" t="s">
        <v>47</v>
      </c>
      <c r="J33" s="14"/>
      <c r="K33" s="14"/>
      <c r="L33" s="12" t="s">
        <v>48</v>
      </c>
      <c r="M33" s="12" t="s">
        <v>59</v>
      </c>
      <c r="N33" s="14"/>
    </row>
    <row r="34" ht="15.75" customHeight="1">
      <c r="A34" s="6" t="s">
        <v>137</v>
      </c>
      <c r="B34" s="12" t="s">
        <v>138</v>
      </c>
      <c r="C34" s="11" t="s">
        <v>18</v>
      </c>
      <c r="D34" s="11" t="s">
        <v>19</v>
      </c>
      <c r="E34" s="11" t="s">
        <v>96</v>
      </c>
      <c r="F34" s="21">
        <v>46116.0</v>
      </c>
      <c r="G34" s="11" t="s">
        <v>22</v>
      </c>
      <c r="H34" s="12" t="s">
        <v>23</v>
      </c>
      <c r="I34" s="12" t="s">
        <v>24</v>
      </c>
      <c r="J34" s="12" t="s">
        <v>25</v>
      </c>
      <c r="K34" s="12" t="s">
        <v>24</v>
      </c>
      <c r="L34" s="12" t="s">
        <v>97</v>
      </c>
      <c r="M34" s="12" t="s">
        <v>139</v>
      </c>
      <c r="N34" s="22" t="s">
        <v>140</v>
      </c>
    </row>
    <row r="35" ht="15.75" customHeight="1">
      <c r="A35" s="6" t="s">
        <v>141</v>
      </c>
      <c r="B35" s="14"/>
      <c r="C35" s="14"/>
      <c r="D35" s="14"/>
      <c r="E35" s="14"/>
      <c r="G35" s="11" t="s">
        <v>22</v>
      </c>
      <c r="H35" s="12" t="s">
        <v>32</v>
      </c>
      <c r="I35" s="12" t="s">
        <v>24</v>
      </c>
      <c r="J35" s="14"/>
      <c r="K35" s="14"/>
      <c r="L35" s="12" t="s">
        <v>97</v>
      </c>
      <c r="M35" s="12" t="s">
        <v>142</v>
      </c>
      <c r="N35" s="14"/>
    </row>
    <row r="36" ht="15.75" customHeight="1">
      <c r="A36" s="6" t="s">
        <v>143</v>
      </c>
      <c r="B36" s="12" t="s">
        <v>144</v>
      </c>
      <c r="C36" s="11" t="s">
        <v>18</v>
      </c>
      <c r="D36" s="11" t="s">
        <v>128</v>
      </c>
      <c r="E36" s="11" t="s">
        <v>96</v>
      </c>
      <c r="F36" s="21">
        <v>46116.0</v>
      </c>
      <c r="G36" s="11" t="s">
        <v>22</v>
      </c>
      <c r="H36" s="12" t="s">
        <v>23</v>
      </c>
      <c r="I36" s="12" t="s">
        <v>47</v>
      </c>
      <c r="J36" s="12" t="s">
        <v>25</v>
      </c>
      <c r="K36" s="12" t="s">
        <v>47</v>
      </c>
      <c r="L36" s="12" t="s">
        <v>48</v>
      </c>
      <c r="M36" s="12" t="s">
        <v>145</v>
      </c>
      <c r="N36" s="22" t="s">
        <v>146</v>
      </c>
    </row>
    <row r="37" ht="15.75" customHeight="1">
      <c r="A37" s="6" t="s">
        <v>147</v>
      </c>
      <c r="B37" s="14"/>
      <c r="C37" s="14"/>
      <c r="D37" s="14"/>
      <c r="E37" s="14"/>
      <c r="G37" s="11" t="s">
        <v>22</v>
      </c>
      <c r="H37" s="12" t="s">
        <v>32</v>
      </c>
      <c r="I37" s="12" t="s">
        <v>47</v>
      </c>
      <c r="J37" s="14"/>
      <c r="K37" s="14"/>
      <c r="L37" s="12" t="s">
        <v>48</v>
      </c>
      <c r="M37" s="12" t="s">
        <v>148</v>
      </c>
      <c r="N37" s="14"/>
    </row>
    <row r="38" ht="15.75" customHeight="1">
      <c r="A38" s="6" t="s">
        <v>149</v>
      </c>
      <c r="B38" s="12" t="s">
        <v>150</v>
      </c>
      <c r="C38" s="11" t="s">
        <v>18</v>
      </c>
      <c r="D38" s="11" t="s">
        <v>19</v>
      </c>
      <c r="E38" s="11" t="s">
        <v>96</v>
      </c>
      <c r="F38" s="21">
        <v>46116.0</v>
      </c>
      <c r="G38" s="11" t="s">
        <v>22</v>
      </c>
      <c r="H38" s="12" t="s">
        <v>23</v>
      </c>
      <c r="I38" s="12" t="s">
        <v>24</v>
      </c>
      <c r="J38" s="12" t="s">
        <v>151</v>
      </c>
      <c r="K38" s="12" t="s">
        <v>47</v>
      </c>
      <c r="L38" s="12" t="s">
        <v>104</v>
      </c>
      <c r="M38" s="12" t="s">
        <v>152</v>
      </c>
      <c r="N38" s="23" t="s">
        <v>153</v>
      </c>
    </row>
    <row r="39" ht="15.75" customHeight="1">
      <c r="A39" s="6" t="s">
        <v>154</v>
      </c>
      <c r="B39" s="14"/>
      <c r="C39" s="14"/>
      <c r="D39" s="14"/>
      <c r="E39" s="14"/>
      <c r="G39" s="11" t="s">
        <v>22</v>
      </c>
      <c r="H39" s="12" t="s">
        <v>32</v>
      </c>
      <c r="I39" s="12" t="s">
        <v>47</v>
      </c>
      <c r="J39" s="14"/>
      <c r="K39" s="14"/>
      <c r="L39" s="12" t="s">
        <v>48</v>
      </c>
      <c r="M39" s="12" t="s">
        <v>155</v>
      </c>
      <c r="N39" s="14"/>
    </row>
    <row r="40" ht="15.75" customHeight="1">
      <c r="A40" s="6" t="s">
        <v>156</v>
      </c>
      <c r="B40" s="12" t="s">
        <v>157</v>
      </c>
      <c r="C40" s="12" t="s">
        <v>18</v>
      </c>
      <c r="D40" s="12" t="s">
        <v>19</v>
      </c>
      <c r="E40" s="12" t="s">
        <v>96</v>
      </c>
      <c r="F40" s="21">
        <v>46116.0</v>
      </c>
      <c r="G40" s="11" t="s">
        <v>22</v>
      </c>
      <c r="H40" s="12" t="s">
        <v>23</v>
      </c>
      <c r="I40" s="12" t="s">
        <v>24</v>
      </c>
      <c r="J40" s="12" t="s">
        <v>25</v>
      </c>
      <c r="K40" s="12" t="s">
        <v>24</v>
      </c>
      <c r="L40" s="12" t="s">
        <v>26</v>
      </c>
      <c r="M40" s="12" t="s">
        <v>158</v>
      </c>
      <c r="N40" s="22" t="s">
        <v>159</v>
      </c>
    </row>
    <row r="41" ht="15.75" customHeight="1">
      <c r="A41" s="6" t="s">
        <v>160</v>
      </c>
      <c r="B41" s="14"/>
      <c r="C41" s="14"/>
      <c r="D41" s="14"/>
      <c r="E41" s="14"/>
      <c r="G41" s="11" t="s">
        <v>22</v>
      </c>
      <c r="H41" s="12" t="s">
        <v>32</v>
      </c>
      <c r="I41" s="12" t="s">
        <v>24</v>
      </c>
      <c r="J41" s="14"/>
      <c r="K41" s="14"/>
      <c r="L41" s="12" t="s">
        <v>26</v>
      </c>
      <c r="M41" s="12" t="s">
        <v>43</v>
      </c>
      <c r="N41" s="14"/>
    </row>
    <row r="42" ht="15.75" customHeight="1">
      <c r="A42" s="6" t="s">
        <v>161</v>
      </c>
      <c r="B42" s="12" t="s">
        <v>162</v>
      </c>
      <c r="C42" s="12" t="s">
        <v>18</v>
      </c>
      <c r="D42" s="12" t="s">
        <v>19</v>
      </c>
      <c r="E42" s="12" t="s">
        <v>96</v>
      </c>
      <c r="F42" s="21">
        <v>46116.0</v>
      </c>
      <c r="G42" s="11" t="s">
        <v>22</v>
      </c>
      <c r="H42" s="12" t="s">
        <v>23</v>
      </c>
      <c r="I42" s="12" t="s">
        <v>24</v>
      </c>
      <c r="J42" s="12" t="s">
        <v>25</v>
      </c>
      <c r="K42" s="12" t="s">
        <v>24</v>
      </c>
      <c r="L42" s="12" t="s">
        <v>163</v>
      </c>
      <c r="M42" s="12" t="s">
        <v>164</v>
      </c>
      <c r="N42" s="13" t="s">
        <v>165</v>
      </c>
    </row>
    <row r="43" ht="15.75" customHeight="1">
      <c r="A43" s="6" t="s">
        <v>166</v>
      </c>
      <c r="B43" s="14"/>
      <c r="C43" s="14"/>
      <c r="D43" s="14"/>
      <c r="E43" s="14"/>
      <c r="G43" s="11" t="s">
        <v>22</v>
      </c>
      <c r="H43" s="12" t="s">
        <v>32</v>
      </c>
      <c r="I43" s="12" t="s">
        <v>24</v>
      </c>
      <c r="J43" s="14"/>
      <c r="K43" s="14"/>
      <c r="L43" s="12" t="s">
        <v>163</v>
      </c>
      <c r="M43" s="12" t="s">
        <v>167</v>
      </c>
      <c r="N43" s="14"/>
    </row>
    <row r="44" ht="15.75" customHeight="1">
      <c r="A44" s="6" t="s">
        <v>168</v>
      </c>
      <c r="B44" s="12" t="s">
        <v>169</v>
      </c>
      <c r="C44" s="12" t="s">
        <v>18</v>
      </c>
      <c r="D44" s="12" t="s">
        <v>19</v>
      </c>
      <c r="E44" s="12" t="s">
        <v>96</v>
      </c>
      <c r="F44" s="21">
        <v>46116.0</v>
      </c>
      <c r="G44" s="11" t="s">
        <v>22</v>
      </c>
      <c r="H44" s="12" t="s">
        <v>23</v>
      </c>
      <c r="I44" s="12" t="s">
        <v>47</v>
      </c>
      <c r="J44" s="24" t="s">
        <v>25</v>
      </c>
      <c r="K44" s="24" t="s">
        <v>47</v>
      </c>
      <c r="L44" s="12" t="s">
        <v>48</v>
      </c>
      <c r="M44" s="12" t="s">
        <v>170</v>
      </c>
      <c r="N44" s="22" t="s">
        <v>171</v>
      </c>
    </row>
    <row r="45" ht="15.75" customHeight="1">
      <c r="A45" s="6" t="s">
        <v>172</v>
      </c>
      <c r="B45" s="14"/>
      <c r="C45" s="14"/>
      <c r="D45" s="14"/>
      <c r="E45" s="14"/>
      <c r="G45" s="11" t="s">
        <v>22</v>
      </c>
      <c r="H45" s="12" t="s">
        <v>32</v>
      </c>
      <c r="I45" s="12" t="s">
        <v>47</v>
      </c>
      <c r="J45" s="14"/>
      <c r="K45" s="14"/>
      <c r="L45" s="12" t="s">
        <v>48</v>
      </c>
      <c r="M45" s="12" t="s">
        <v>173</v>
      </c>
      <c r="N45" s="14"/>
    </row>
    <row r="46" ht="15.75" customHeight="1">
      <c r="A46" s="6" t="s">
        <v>174</v>
      </c>
      <c r="B46" s="12" t="s">
        <v>175</v>
      </c>
      <c r="C46" s="12" t="s">
        <v>18</v>
      </c>
      <c r="D46" s="12" t="s">
        <v>19</v>
      </c>
      <c r="E46" s="12" t="s">
        <v>96</v>
      </c>
      <c r="F46" s="21">
        <v>46116.0</v>
      </c>
      <c r="G46" s="11" t="s">
        <v>22</v>
      </c>
      <c r="H46" s="12" t="s">
        <v>23</v>
      </c>
      <c r="I46" s="12" t="s">
        <v>24</v>
      </c>
      <c r="J46" s="12" t="s">
        <v>25</v>
      </c>
      <c r="K46" s="12" t="s">
        <v>24</v>
      </c>
      <c r="L46" s="12" t="s">
        <v>26</v>
      </c>
      <c r="M46" s="12" t="s">
        <v>176</v>
      </c>
      <c r="N46" s="13" t="s">
        <v>177</v>
      </c>
    </row>
    <row r="47" ht="15.75" customHeight="1">
      <c r="A47" s="6" t="s">
        <v>178</v>
      </c>
      <c r="B47" s="14"/>
      <c r="C47" s="14"/>
      <c r="D47" s="14"/>
      <c r="E47" s="14"/>
      <c r="G47" s="11" t="s">
        <v>22</v>
      </c>
      <c r="H47" s="12" t="s">
        <v>32</v>
      </c>
      <c r="I47" s="12" t="s">
        <v>24</v>
      </c>
      <c r="J47" s="14"/>
      <c r="K47" s="14"/>
      <c r="L47" s="12" t="s">
        <v>26</v>
      </c>
      <c r="M47" s="12" t="s">
        <v>43</v>
      </c>
      <c r="N47" s="14"/>
    </row>
    <row r="48" ht="15.75" customHeight="1">
      <c r="A48" s="6" t="s">
        <v>179</v>
      </c>
      <c r="B48" s="12" t="s">
        <v>180</v>
      </c>
      <c r="C48" s="12" t="s">
        <v>18</v>
      </c>
      <c r="D48" s="12" t="s">
        <v>19</v>
      </c>
      <c r="E48" s="12" t="s">
        <v>96</v>
      </c>
      <c r="F48" s="21">
        <v>46116.0</v>
      </c>
      <c r="G48" s="11" t="s">
        <v>22</v>
      </c>
      <c r="H48" s="12" t="s">
        <v>23</v>
      </c>
      <c r="I48" s="12" t="s">
        <v>47</v>
      </c>
      <c r="J48" s="24" t="s">
        <v>25</v>
      </c>
      <c r="K48" s="24" t="s">
        <v>47</v>
      </c>
      <c r="L48" s="12" t="s">
        <v>48</v>
      </c>
      <c r="M48" s="12" t="s">
        <v>181</v>
      </c>
      <c r="N48" s="22" t="s">
        <v>182</v>
      </c>
    </row>
    <row r="49" ht="15.75" customHeight="1">
      <c r="A49" s="6" t="s">
        <v>183</v>
      </c>
      <c r="B49" s="14"/>
      <c r="C49" s="14"/>
      <c r="D49" s="14"/>
      <c r="E49" s="14"/>
      <c r="G49" s="11" t="s">
        <v>22</v>
      </c>
      <c r="H49" s="12" t="s">
        <v>32</v>
      </c>
      <c r="I49" s="12" t="s">
        <v>47</v>
      </c>
      <c r="J49" s="14"/>
      <c r="K49" s="14"/>
      <c r="L49" s="12" t="s">
        <v>48</v>
      </c>
      <c r="M49" s="12" t="s">
        <v>184</v>
      </c>
      <c r="N49" s="14"/>
    </row>
    <row r="50" ht="15.75" customHeight="1">
      <c r="A50" s="6" t="s">
        <v>185</v>
      </c>
      <c r="B50" s="12" t="s">
        <v>186</v>
      </c>
      <c r="C50" s="12" t="s">
        <v>18</v>
      </c>
      <c r="D50" s="12" t="s">
        <v>19</v>
      </c>
      <c r="E50" s="12" t="s">
        <v>96</v>
      </c>
      <c r="F50" s="21">
        <v>46116.0</v>
      </c>
      <c r="G50" s="11" t="s">
        <v>22</v>
      </c>
      <c r="H50" s="12" t="s">
        <v>23</v>
      </c>
      <c r="I50" s="12" t="s">
        <v>47</v>
      </c>
      <c r="J50" s="24" t="s">
        <v>25</v>
      </c>
      <c r="K50" s="24" t="s">
        <v>47</v>
      </c>
      <c r="L50" s="12" t="s">
        <v>48</v>
      </c>
      <c r="M50" s="12" t="s">
        <v>187</v>
      </c>
      <c r="N50" s="22" t="s">
        <v>188</v>
      </c>
    </row>
    <row r="51" ht="15.75" customHeight="1">
      <c r="A51" s="6" t="s">
        <v>189</v>
      </c>
      <c r="B51" s="14"/>
      <c r="C51" s="14"/>
      <c r="D51" s="14"/>
      <c r="E51" s="14"/>
      <c r="G51" s="11" t="s">
        <v>22</v>
      </c>
      <c r="H51" s="12" t="s">
        <v>32</v>
      </c>
      <c r="I51" s="12" t="s">
        <v>47</v>
      </c>
      <c r="J51" s="14"/>
      <c r="K51" s="14"/>
      <c r="L51" s="12" t="s">
        <v>48</v>
      </c>
      <c r="M51" s="12" t="s">
        <v>190</v>
      </c>
      <c r="N51" s="14"/>
    </row>
    <row r="52" ht="15.75" customHeight="1">
      <c r="A52" s="6" t="s">
        <v>191</v>
      </c>
      <c r="B52" s="12" t="s">
        <v>192</v>
      </c>
      <c r="C52" s="12" t="s">
        <v>18</v>
      </c>
      <c r="D52" s="12" t="s">
        <v>19</v>
      </c>
      <c r="E52" s="12" t="s">
        <v>96</v>
      </c>
      <c r="F52" s="21">
        <v>46116.0</v>
      </c>
      <c r="G52" s="11" t="s">
        <v>22</v>
      </c>
      <c r="H52" s="12" t="s">
        <v>23</v>
      </c>
      <c r="I52" s="12" t="s">
        <v>24</v>
      </c>
      <c r="J52" s="12" t="s">
        <v>25</v>
      </c>
      <c r="K52" s="12" t="s">
        <v>24</v>
      </c>
      <c r="L52" s="12" t="s">
        <v>26</v>
      </c>
      <c r="M52" s="12" t="s">
        <v>193</v>
      </c>
      <c r="N52" s="22" t="s">
        <v>194</v>
      </c>
    </row>
    <row r="53" ht="15.75" customHeight="1">
      <c r="A53" s="6" t="s">
        <v>195</v>
      </c>
      <c r="B53" s="14"/>
      <c r="C53" s="14"/>
      <c r="D53" s="14"/>
      <c r="E53" s="14"/>
      <c r="G53" s="11" t="s">
        <v>22</v>
      </c>
      <c r="H53" s="12" t="s">
        <v>32</v>
      </c>
      <c r="I53" s="12" t="s">
        <v>24</v>
      </c>
      <c r="J53" s="14"/>
      <c r="K53" s="14"/>
      <c r="L53" s="12" t="s">
        <v>26</v>
      </c>
      <c r="M53" s="12" t="s">
        <v>196</v>
      </c>
      <c r="N53" s="14"/>
    </row>
    <row r="54" ht="28.5" customHeight="1">
      <c r="A54" s="25" t="s">
        <v>197</v>
      </c>
      <c r="B54" s="25" t="s">
        <v>1</v>
      </c>
      <c r="C54" s="25" t="s">
        <v>2</v>
      </c>
      <c r="D54" s="25" t="s">
        <v>3</v>
      </c>
      <c r="E54" s="25" t="s">
        <v>4</v>
      </c>
      <c r="F54" s="25" t="s">
        <v>5</v>
      </c>
      <c r="G54" s="25" t="s">
        <v>6</v>
      </c>
      <c r="H54" s="25" t="s">
        <v>7</v>
      </c>
      <c r="I54" s="25" t="s">
        <v>8</v>
      </c>
      <c r="J54" s="26" t="s">
        <v>9</v>
      </c>
      <c r="K54" s="26" t="s">
        <v>10</v>
      </c>
      <c r="L54" s="25" t="s">
        <v>11</v>
      </c>
      <c r="M54" s="25" t="s">
        <v>12</v>
      </c>
      <c r="N54" s="25" t="s">
        <v>13</v>
      </c>
    </row>
    <row r="55">
      <c r="A55" s="27" t="s">
        <v>198</v>
      </c>
      <c r="B55" s="11" t="s">
        <v>199</v>
      </c>
      <c r="C55" s="11" t="s">
        <v>200</v>
      </c>
      <c r="D55" s="11" t="s">
        <v>201</v>
      </c>
      <c r="E55" s="11" t="s">
        <v>202</v>
      </c>
      <c r="F55" s="11" t="s">
        <v>203</v>
      </c>
      <c r="G55" s="11" t="s">
        <v>22</v>
      </c>
      <c r="H55" s="11" t="s">
        <v>204</v>
      </c>
      <c r="I55" s="11" t="s">
        <v>47</v>
      </c>
      <c r="J55" s="12" t="s">
        <v>25</v>
      </c>
      <c r="K55" s="12" t="s">
        <v>47</v>
      </c>
      <c r="L55" s="11" t="s">
        <v>48</v>
      </c>
      <c r="M55" s="9" t="s">
        <v>205</v>
      </c>
      <c r="N55" s="19" t="s">
        <v>206</v>
      </c>
    </row>
    <row r="56" ht="15.75" customHeight="1">
      <c r="A56" s="28" t="s">
        <v>207</v>
      </c>
      <c r="B56" s="29"/>
      <c r="C56" s="29"/>
      <c r="D56" s="29"/>
      <c r="E56" s="29"/>
      <c r="F56" s="29"/>
      <c r="G56" s="30" t="s">
        <v>22</v>
      </c>
      <c r="H56" s="31" t="s">
        <v>208</v>
      </c>
      <c r="I56" s="31" t="s">
        <v>47</v>
      </c>
      <c r="J56" s="29"/>
      <c r="K56" s="29"/>
      <c r="L56" s="31" t="s">
        <v>48</v>
      </c>
      <c r="M56" s="32" t="s">
        <v>209</v>
      </c>
      <c r="N56" s="29"/>
    </row>
    <row r="57" ht="15.75" customHeight="1">
      <c r="A57" s="27" t="s">
        <v>210</v>
      </c>
      <c r="B57" s="11" t="s">
        <v>211</v>
      </c>
      <c r="C57" s="11" t="s">
        <v>200</v>
      </c>
      <c r="D57" s="11" t="s">
        <v>19</v>
      </c>
      <c r="E57" s="11" t="s">
        <v>212</v>
      </c>
      <c r="F57" s="11" t="s">
        <v>203</v>
      </c>
      <c r="G57" s="11" t="s">
        <v>22</v>
      </c>
      <c r="H57" s="11" t="s">
        <v>204</v>
      </c>
      <c r="I57" s="11" t="s">
        <v>47</v>
      </c>
      <c r="J57" s="12" t="s">
        <v>25</v>
      </c>
      <c r="K57" s="12" t="s">
        <v>47</v>
      </c>
      <c r="L57" s="11" t="s">
        <v>48</v>
      </c>
      <c r="M57" s="33" t="s">
        <v>213</v>
      </c>
      <c r="N57" s="19" t="s">
        <v>214</v>
      </c>
    </row>
    <row r="58" ht="15.75" customHeight="1">
      <c r="A58" s="28" t="s">
        <v>215</v>
      </c>
      <c r="B58" s="29"/>
      <c r="C58" s="29"/>
      <c r="D58" s="29"/>
      <c r="E58" s="29"/>
      <c r="F58" s="29"/>
      <c r="G58" s="30" t="s">
        <v>22</v>
      </c>
      <c r="H58" s="31" t="s">
        <v>208</v>
      </c>
      <c r="I58" s="31" t="s">
        <v>47</v>
      </c>
      <c r="J58" s="29"/>
      <c r="K58" s="29"/>
      <c r="L58" s="31" t="s">
        <v>48</v>
      </c>
      <c r="M58" s="34" t="s">
        <v>216</v>
      </c>
      <c r="N58" s="29"/>
    </row>
    <row r="59" ht="15.75" customHeight="1">
      <c r="A59" s="27" t="s">
        <v>217</v>
      </c>
      <c r="B59" s="11" t="s">
        <v>218</v>
      </c>
      <c r="C59" s="11" t="s">
        <v>200</v>
      </c>
      <c r="D59" s="11" t="s">
        <v>19</v>
      </c>
      <c r="E59" s="11" t="s">
        <v>219</v>
      </c>
      <c r="F59" s="11" t="s">
        <v>220</v>
      </c>
      <c r="G59" s="11" t="s">
        <v>22</v>
      </c>
      <c r="H59" s="11" t="s">
        <v>204</v>
      </c>
      <c r="I59" s="11" t="s">
        <v>47</v>
      </c>
      <c r="J59" s="12" t="s">
        <v>25</v>
      </c>
      <c r="K59" s="12" t="s">
        <v>47</v>
      </c>
      <c r="L59" s="11" t="s">
        <v>48</v>
      </c>
      <c r="M59" s="9" t="s">
        <v>221</v>
      </c>
      <c r="N59" s="19" t="s">
        <v>222</v>
      </c>
    </row>
    <row r="60" ht="15.75" customHeight="1">
      <c r="A60" s="28" t="s">
        <v>223</v>
      </c>
      <c r="B60" s="29"/>
      <c r="C60" s="29"/>
      <c r="D60" s="29"/>
      <c r="E60" s="29"/>
      <c r="F60" s="29"/>
      <c r="G60" s="30" t="s">
        <v>22</v>
      </c>
      <c r="H60" s="31" t="s">
        <v>208</v>
      </c>
      <c r="I60" s="31" t="s">
        <v>47</v>
      </c>
      <c r="J60" s="29"/>
      <c r="K60" s="29"/>
      <c r="L60" s="31" t="s">
        <v>48</v>
      </c>
      <c r="M60" s="32" t="s">
        <v>224</v>
      </c>
      <c r="N60" s="29"/>
    </row>
    <row r="61" ht="23.25" customHeight="1">
      <c r="A61" s="27" t="s">
        <v>225</v>
      </c>
      <c r="B61" s="11" t="s">
        <v>226</v>
      </c>
      <c r="C61" s="11" t="s">
        <v>200</v>
      </c>
      <c r="D61" s="11" t="s">
        <v>19</v>
      </c>
      <c r="E61" s="11" t="s">
        <v>219</v>
      </c>
      <c r="F61" s="11" t="s">
        <v>220</v>
      </c>
      <c r="G61" s="11" t="s">
        <v>22</v>
      </c>
      <c r="H61" s="11" t="s">
        <v>204</v>
      </c>
      <c r="I61" s="11" t="s">
        <v>47</v>
      </c>
      <c r="J61" s="12" t="s">
        <v>25</v>
      </c>
      <c r="K61" s="12" t="s">
        <v>47</v>
      </c>
      <c r="L61" s="11" t="s">
        <v>48</v>
      </c>
      <c r="M61" s="9" t="s">
        <v>227</v>
      </c>
      <c r="N61" s="19" t="s">
        <v>228</v>
      </c>
    </row>
    <row r="62" ht="22.5" customHeight="1">
      <c r="A62" s="28" t="s">
        <v>229</v>
      </c>
      <c r="B62" s="29"/>
      <c r="C62" s="29"/>
      <c r="D62" s="29"/>
      <c r="E62" s="29"/>
      <c r="F62" s="29"/>
      <c r="G62" s="30" t="s">
        <v>22</v>
      </c>
      <c r="H62" s="31" t="s">
        <v>208</v>
      </c>
      <c r="I62" s="31" t="s">
        <v>47</v>
      </c>
      <c r="J62" s="29"/>
      <c r="K62" s="29"/>
      <c r="L62" s="31" t="s">
        <v>48</v>
      </c>
      <c r="M62" s="32" t="s">
        <v>230</v>
      </c>
      <c r="N62" s="29"/>
    </row>
    <row r="63" ht="15.75" customHeight="1">
      <c r="A63" s="27" t="s">
        <v>231</v>
      </c>
      <c r="B63" s="11" t="s">
        <v>232</v>
      </c>
      <c r="C63" s="11" t="s">
        <v>200</v>
      </c>
      <c r="D63" s="11" t="s">
        <v>19</v>
      </c>
      <c r="E63" s="11" t="s">
        <v>219</v>
      </c>
      <c r="F63" s="12" t="s">
        <v>220</v>
      </c>
      <c r="G63" s="11" t="s">
        <v>22</v>
      </c>
      <c r="H63" s="11" t="s">
        <v>204</v>
      </c>
      <c r="I63" s="11" t="s">
        <v>47</v>
      </c>
      <c r="J63" s="12" t="s">
        <v>25</v>
      </c>
      <c r="K63" s="12" t="s">
        <v>47</v>
      </c>
      <c r="L63" s="11" t="s">
        <v>48</v>
      </c>
      <c r="M63" s="9" t="s">
        <v>233</v>
      </c>
      <c r="N63" s="19" t="s">
        <v>234</v>
      </c>
    </row>
    <row r="64" ht="15.75" customHeight="1">
      <c r="A64" s="28" t="s">
        <v>235</v>
      </c>
      <c r="B64" s="29"/>
      <c r="C64" s="29"/>
      <c r="D64" s="29"/>
      <c r="E64" s="29"/>
      <c r="F64" s="29"/>
      <c r="G64" s="30" t="s">
        <v>22</v>
      </c>
      <c r="H64" s="31" t="s">
        <v>208</v>
      </c>
      <c r="I64" s="31" t="s">
        <v>47</v>
      </c>
      <c r="J64" s="29"/>
      <c r="K64" s="29"/>
      <c r="L64" s="31" t="s">
        <v>48</v>
      </c>
      <c r="M64" s="32" t="s">
        <v>236</v>
      </c>
      <c r="N64" s="29"/>
    </row>
    <row r="65" ht="15.75" customHeight="1">
      <c r="A65" s="27" t="s">
        <v>237</v>
      </c>
      <c r="B65" s="11" t="s">
        <v>238</v>
      </c>
      <c r="C65" s="11" t="s">
        <v>200</v>
      </c>
      <c r="D65" s="11" t="s">
        <v>19</v>
      </c>
      <c r="E65" s="11" t="s">
        <v>219</v>
      </c>
      <c r="F65" s="12" t="s">
        <v>220</v>
      </c>
      <c r="G65" s="11" t="s">
        <v>22</v>
      </c>
      <c r="H65" s="11" t="s">
        <v>204</v>
      </c>
      <c r="I65" s="11" t="s">
        <v>47</v>
      </c>
      <c r="J65" s="12" t="s">
        <v>25</v>
      </c>
      <c r="K65" s="12" t="s">
        <v>47</v>
      </c>
      <c r="L65" s="11" t="s">
        <v>48</v>
      </c>
      <c r="M65" s="9" t="s">
        <v>239</v>
      </c>
      <c r="N65" s="19" t="s">
        <v>240</v>
      </c>
    </row>
    <row r="66" ht="15.75" customHeight="1">
      <c r="A66" s="28" t="s">
        <v>241</v>
      </c>
      <c r="B66" s="29"/>
      <c r="C66" s="29"/>
      <c r="D66" s="29"/>
      <c r="E66" s="29"/>
      <c r="F66" s="29"/>
      <c r="G66" s="30" t="s">
        <v>22</v>
      </c>
      <c r="H66" s="31" t="s">
        <v>208</v>
      </c>
      <c r="I66" s="31" t="s">
        <v>47</v>
      </c>
      <c r="J66" s="29"/>
      <c r="K66" s="29"/>
      <c r="L66" s="31" t="s">
        <v>48</v>
      </c>
      <c r="M66" s="32" t="s">
        <v>242</v>
      </c>
      <c r="N66" s="29"/>
    </row>
    <row r="67" ht="15.75" customHeight="1">
      <c r="A67" s="27" t="s">
        <v>243</v>
      </c>
      <c r="B67" s="11" t="s">
        <v>244</v>
      </c>
      <c r="C67" s="11" t="s">
        <v>200</v>
      </c>
      <c r="D67" s="11" t="s">
        <v>19</v>
      </c>
      <c r="E67" s="11" t="s">
        <v>219</v>
      </c>
      <c r="F67" s="12" t="s">
        <v>220</v>
      </c>
      <c r="G67" s="11" t="s">
        <v>22</v>
      </c>
      <c r="H67" s="11" t="s">
        <v>204</v>
      </c>
      <c r="I67" s="11" t="s">
        <v>47</v>
      </c>
      <c r="J67" s="12" t="s">
        <v>25</v>
      </c>
      <c r="K67" s="12" t="s">
        <v>47</v>
      </c>
      <c r="L67" s="11" t="s">
        <v>48</v>
      </c>
      <c r="M67" s="9" t="s">
        <v>245</v>
      </c>
      <c r="N67" s="19" t="s">
        <v>246</v>
      </c>
    </row>
    <row r="68" ht="15.75" customHeight="1">
      <c r="A68" s="28" t="s">
        <v>247</v>
      </c>
      <c r="B68" s="29"/>
      <c r="C68" s="29"/>
      <c r="D68" s="29"/>
      <c r="E68" s="29"/>
      <c r="F68" s="29"/>
      <c r="G68" s="30" t="s">
        <v>22</v>
      </c>
      <c r="H68" s="31" t="s">
        <v>208</v>
      </c>
      <c r="I68" s="31" t="s">
        <v>47</v>
      </c>
      <c r="J68" s="29"/>
      <c r="K68" s="29"/>
      <c r="L68" s="31" t="s">
        <v>48</v>
      </c>
      <c r="M68" s="32" t="s">
        <v>248</v>
      </c>
      <c r="N68" s="29"/>
    </row>
    <row r="69" ht="15.75" customHeight="1">
      <c r="A69" s="27" t="s">
        <v>249</v>
      </c>
      <c r="B69" s="12" t="s">
        <v>250</v>
      </c>
      <c r="C69" s="11" t="s">
        <v>200</v>
      </c>
      <c r="D69" s="12" t="s">
        <v>251</v>
      </c>
      <c r="E69" s="12" t="s">
        <v>252</v>
      </c>
      <c r="F69" s="35">
        <v>46114.0</v>
      </c>
      <c r="G69" s="12" t="s">
        <v>22</v>
      </c>
      <c r="H69" s="11" t="s">
        <v>204</v>
      </c>
      <c r="I69" s="12" t="s">
        <v>47</v>
      </c>
      <c r="J69" s="12" t="s">
        <v>25</v>
      </c>
      <c r="K69" s="12" t="s">
        <v>47</v>
      </c>
      <c r="L69" s="12" t="s">
        <v>48</v>
      </c>
      <c r="M69" s="36" t="s">
        <v>253</v>
      </c>
      <c r="N69" s="37" t="s">
        <v>254</v>
      </c>
    </row>
    <row r="70" ht="15.75" customHeight="1">
      <c r="A70" s="28" t="s">
        <v>255</v>
      </c>
      <c r="B70" s="29"/>
      <c r="C70" s="29"/>
      <c r="D70" s="29"/>
      <c r="E70" s="29"/>
      <c r="F70" s="29"/>
      <c r="G70" s="31" t="s">
        <v>22</v>
      </c>
      <c r="H70" s="31" t="s">
        <v>208</v>
      </c>
      <c r="I70" s="31" t="s">
        <v>47</v>
      </c>
      <c r="J70" s="29"/>
      <c r="K70" s="29"/>
      <c r="L70" s="31" t="s">
        <v>48</v>
      </c>
      <c r="M70" s="32" t="s">
        <v>256</v>
      </c>
      <c r="N70" s="29"/>
    </row>
    <row r="71" ht="15.75" customHeight="1">
      <c r="A71" s="27" t="s">
        <v>257</v>
      </c>
      <c r="B71" s="12" t="s">
        <v>258</v>
      </c>
      <c r="C71" s="11" t="s">
        <v>200</v>
      </c>
      <c r="D71" s="12" t="s">
        <v>259</v>
      </c>
      <c r="E71" s="12" t="s">
        <v>260</v>
      </c>
      <c r="F71" s="35">
        <v>46114.0</v>
      </c>
      <c r="G71" s="12" t="s">
        <v>22</v>
      </c>
      <c r="H71" s="11" t="s">
        <v>204</v>
      </c>
      <c r="I71" s="12" t="s">
        <v>47</v>
      </c>
      <c r="J71" s="12" t="s">
        <v>25</v>
      </c>
      <c r="K71" s="12" t="s">
        <v>47</v>
      </c>
      <c r="L71" s="12" t="s">
        <v>48</v>
      </c>
      <c r="M71" s="36" t="s">
        <v>261</v>
      </c>
      <c r="N71" s="37" t="s">
        <v>262</v>
      </c>
    </row>
    <row r="72" ht="15.75" customHeight="1">
      <c r="A72" s="28" t="s">
        <v>263</v>
      </c>
      <c r="B72" s="29"/>
      <c r="C72" s="29"/>
      <c r="D72" s="29"/>
      <c r="E72" s="29"/>
      <c r="F72" s="29"/>
      <c r="G72" s="31" t="s">
        <v>22</v>
      </c>
      <c r="H72" s="31" t="s">
        <v>208</v>
      </c>
      <c r="I72" s="31" t="s">
        <v>47</v>
      </c>
      <c r="J72" s="29"/>
      <c r="K72" s="29"/>
      <c r="L72" s="31" t="s">
        <v>48</v>
      </c>
      <c r="M72" s="32" t="s">
        <v>264</v>
      </c>
      <c r="N72" s="29"/>
    </row>
    <row r="73" ht="15.75" customHeight="1">
      <c r="A73" s="27" t="s">
        <v>265</v>
      </c>
      <c r="B73" s="12" t="s">
        <v>266</v>
      </c>
      <c r="C73" s="11" t="s">
        <v>200</v>
      </c>
      <c r="D73" s="12" t="s">
        <v>19</v>
      </c>
      <c r="E73" s="12" t="s">
        <v>267</v>
      </c>
      <c r="F73" s="35">
        <v>46114.0</v>
      </c>
      <c r="G73" s="12" t="s">
        <v>22</v>
      </c>
      <c r="H73" s="11" t="s">
        <v>204</v>
      </c>
      <c r="I73" s="12" t="s">
        <v>47</v>
      </c>
      <c r="J73" s="12" t="s">
        <v>25</v>
      </c>
      <c r="K73" s="12" t="s">
        <v>47</v>
      </c>
      <c r="L73" s="12" t="s">
        <v>48</v>
      </c>
      <c r="M73" s="36" t="s">
        <v>268</v>
      </c>
      <c r="N73" s="38" t="s">
        <v>269</v>
      </c>
    </row>
    <row r="74" ht="15.75" customHeight="1">
      <c r="A74" s="28" t="s">
        <v>270</v>
      </c>
      <c r="B74" s="29"/>
      <c r="C74" s="29"/>
      <c r="D74" s="29"/>
      <c r="E74" s="29"/>
      <c r="F74" s="29"/>
      <c r="G74" s="31" t="s">
        <v>22</v>
      </c>
      <c r="H74" s="31" t="s">
        <v>208</v>
      </c>
      <c r="I74" s="31" t="s">
        <v>47</v>
      </c>
      <c r="J74" s="29"/>
      <c r="K74" s="29"/>
      <c r="L74" s="31" t="s">
        <v>48</v>
      </c>
      <c r="M74" s="32" t="s">
        <v>271</v>
      </c>
      <c r="N74" s="29"/>
    </row>
    <row r="75" ht="15.75" customHeight="1">
      <c r="A75" s="27" t="s">
        <v>272</v>
      </c>
      <c r="B75" s="12" t="s">
        <v>273</v>
      </c>
      <c r="C75" s="11" t="s">
        <v>200</v>
      </c>
      <c r="D75" s="12" t="s">
        <v>19</v>
      </c>
      <c r="E75" s="12" t="s">
        <v>274</v>
      </c>
      <c r="F75" s="35">
        <v>46114.0</v>
      </c>
      <c r="G75" s="12" t="s">
        <v>22</v>
      </c>
      <c r="H75" s="11" t="s">
        <v>204</v>
      </c>
      <c r="I75" s="12" t="s">
        <v>47</v>
      </c>
      <c r="J75" s="12" t="s">
        <v>25</v>
      </c>
      <c r="K75" s="12" t="s">
        <v>47</v>
      </c>
      <c r="L75" s="12" t="s">
        <v>48</v>
      </c>
      <c r="M75" s="36" t="s">
        <v>275</v>
      </c>
      <c r="N75" s="38" t="s">
        <v>276</v>
      </c>
    </row>
    <row r="76" ht="15.75" customHeight="1">
      <c r="A76" s="28" t="s">
        <v>277</v>
      </c>
      <c r="B76" s="29"/>
      <c r="C76" s="29"/>
      <c r="D76" s="29"/>
      <c r="E76" s="29"/>
      <c r="F76" s="29"/>
      <c r="G76" s="31" t="s">
        <v>22</v>
      </c>
      <c r="H76" s="31" t="s">
        <v>208</v>
      </c>
      <c r="I76" s="31" t="s">
        <v>47</v>
      </c>
      <c r="J76" s="29"/>
      <c r="K76" s="29"/>
      <c r="L76" s="31" t="s">
        <v>48</v>
      </c>
      <c r="M76" s="32" t="s">
        <v>278</v>
      </c>
      <c r="N76" s="29"/>
    </row>
    <row r="77" ht="15.75" customHeight="1">
      <c r="A77" s="27" t="s">
        <v>279</v>
      </c>
      <c r="B77" s="12" t="s">
        <v>280</v>
      </c>
      <c r="C77" s="11" t="s">
        <v>200</v>
      </c>
      <c r="D77" s="12" t="s">
        <v>19</v>
      </c>
      <c r="E77" s="12" t="s">
        <v>281</v>
      </c>
      <c r="F77" s="35">
        <v>46114.0</v>
      </c>
      <c r="G77" s="12" t="s">
        <v>22</v>
      </c>
      <c r="H77" s="11" t="s">
        <v>204</v>
      </c>
      <c r="I77" s="12" t="s">
        <v>282</v>
      </c>
      <c r="J77" s="12" t="s">
        <v>25</v>
      </c>
      <c r="K77" s="12" t="s">
        <v>47</v>
      </c>
      <c r="L77" s="12" t="s">
        <v>48</v>
      </c>
      <c r="M77" s="36" t="s">
        <v>283</v>
      </c>
      <c r="N77" s="37" t="s">
        <v>284</v>
      </c>
    </row>
    <row r="78" ht="15.75" customHeight="1">
      <c r="A78" s="28" t="s">
        <v>285</v>
      </c>
      <c r="B78" s="29"/>
      <c r="C78" s="29"/>
      <c r="D78" s="29"/>
      <c r="E78" s="29"/>
      <c r="F78" s="29"/>
      <c r="G78" s="31" t="s">
        <v>22</v>
      </c>
      <c r="H78" s="31" t="s">
        <v>208</v>
      </c>
      <c r="I78" s="31" t="s">
        <v>47</v>
      </c>
      <c r="J78" s="29"/>
      <c r="K78" s="29"/>
      <c r="L78" s="31" t="s">
        <v>48</v>
      </c>
      <c r="M78" s="32" t="s">
        <v>286</v>
      </c>
      <c r="N78" s="29"/>
    </row>
    <row r="79" ht="15.75" customHeight="1">
      <c r="A79" s="27" t="s">
        <v>287</v>
      </c>
      <c r="B79" s="12" t="s">
        <v>288</v>
      </c>
      <c r="C79" s="11" t="s">
        <v>200</v>
      </c>
      <c r="D79" s="12" t="s">
        <v>251</v>
      </c>
      <c r="E79" s="12" t="s">
        <v>289</v>
      </c>
      <c r="F79" s="35">
        <v>46114.0</v>
      </c>
      <c r="G79" s="12" t="s">
        <v>22</v>
      </c>
      <c r="H79" s="11" t="s">
        <v>204</v>
      </c>
      <c r="I79" s="12" t="s">
        <v>282</v>
      </c>
      <c r="J79" s="12" t="s">
        <v>25</v>
      </c>
      <c r="K79" s="12" t="s">
        <v>47</v>
      </c>
      <c r="L79" s="12" t="s">
        <v>48</v>
      </c>
      <c r="M79" s="36" t="s">
        <v>290</v>
      </c>
      <c r="N79" s="37" t="s">
        <v>291</v>
      </c>
    </row>
    <row r="80" ht="15.75" customHeight="1">
      <c r="A80" s="28" t="s">
        <v>292</v>
      </c>
      <c r="B80" s="29"/>
      <c r="C80" s="29"/>
      <c r="D80" s="29"/>
      <c r="E80" s="29"/>
      <c r="F80" s="29"/>
      <c r="G80" s="31" t="s">
        <v>22</v>
      </c>
      <c r="H80" s="31" t="s">
        <v>208</v>
      </c>
      <c r="I80" s="31" t="s">
        <v>47</v>
      </c>
      <c r="J80" s="29"/>
      <c r="K80" s="29"/>
      <c r="L80" s="31" t="s">
        <v>48</v>
      </c>
      <c r="M80" s="32" t="s">
        <v>293</v>
      </c>
      <c r="N80" s="29"/>
    </row>
    <row r="81" ht="15.75" customHeight="1">
      <c r="A81" s="27" t="s">
        <v>294</v>
      </c>
      <c r="B81" s="12" t="s">
        <v>295</v>
      </c>
      <c r="C81" s="12" t="s">
        <v>296</v>
      </c>
      <c r="D81" s="12" t="s">
        <v>19</v>
      </c>
      <c r="E81" s="12" t="s">
        <v>297</v>
      </c>
      <c r="F81" s="35">
        <v>46114.0</v>
      </c>
      <c r="G81" s="12" t="s">
        <v>22</v>
      </c>
      <c r="H81" s="11" t="s">
        <v>204</v>
      </c>
      <c r="I81" s="12" t="s">
        <v>47</v>
      </c>
      <c r="J81" s="12" t="s">
        <v>25</v>
      </c>
      <c r="K81" s="12" t="s">
        <v>24</v>
      </c>
      <c r="L81" s="39" t="s">
        <v>97</v>
      </c>
      <c r="M81" s="36" t="s">
        <v>298</v>
      </c>
      <c r="N81" s="37" t="s">
        <v>299</v>
      </c>
    </row>
    <row r="82" ht="15.75" customHeight="1">
      <c r="A82" s="28" t="s">
        <v>300</v>
      </c>
      <c r="B82" s="29"/>
      <c r="C82" s="29"/>
      <c r="D82" s="29"/>
      <c r="E82" s="29"/>
      <c r="F82" s="29"/>
      <c r="G82" s="31" t="s">
        <v>22</v>
      </c>
      <c r="H82" s="31" t="s">
        <v>208</v>
      </c>
      <c r="I82" s="31" t="s">
        <v>24</v>
      </c>
      <c r="J82" s="29"/>
      <c r="K82" s="29"/>
      <c r="L82" s="39" t="s">
        <v>97</v>
      </c>
      <c r="M82" s="32" t="s">
        <v>301</v>
      </c>
      <c r="N82" s="29"/>
    </row>
    <row r="83" ht="15.75" customHeight="1">
      <c r="A83" s="40" t="s">
        <v>302</v>
      </c>
      <c r="B83" s="12" t="s">
        <v>303</v>
      </c>
      <c r="C83" s="12" t="s">
        <v>304</v>
      </c>
      <c r="D83" s="11" t="s">
        <v>201</v>
      </c>
      <c r="E83" s="12" t="s">
        <v>305</v>
      </c>
      <c r="F83" s="35">
        <v>46114.0</v>
      </c>
      <c r="G83" s="12" t="s">
        <v>22</v>
      </c>
      <c r="H83" s="11" t="s">
        <v>204</v>
      </c>
      <c r="I83" s="12" t="s">
        <v>282</v>
      </c>
      <c r="J83" s="12" t="s">
        <v>25</v>
      </c>
      <c r="K83" s="12" t="s">
        <v>47</v>
      </c>
      <c r="L83" s="12" t="s">
        <v>48</v>
      </c>
      <c r="M83" s="12" t="s">
        <v>306</v>
      </c>
      <c r="N83" s="41" t="s">
        <v>307</v>
      </c>
    </row>
    <row r="84" ht="15.75" customHeight="1">
      <c r="A84" s="42" t="s">
        <v>308</v>
      </c>
      <c r="B84" s="29"/>
      <c r="C84" s="29"/>
      <c r="D84" s="29"/>
      <c r="E84" s="29"/>
      <c r="F84" s="29"/>
      <c r="G84" s="31" t="s">
        <v>22</v>
      </c>
      <c r="H84" s="31" t="s">
        <v>208</v>
      </c>
      <c r="I84" s="31" t="s">
        <v>47</v>
      </c>
      <c r="J84" s="29"/>
      <c r="K84" s="29"/>
      <c r="L84" s="31" t="s">
        <v>48</v>
      </c>
      <c r="M84" s="31" t="s">
        <v>309</v>
      </c>
      <c r="N84" s="43"/>
    </row>
    <row r="85" ht="15.75" customHeight="1">
      <c r="A85" s="40" t="s">
        <v>310</v>
      </c>
      <c r="B85" s="12" t="s">
        <v>311</v>
      </c>
      <c r="C85" s="12" t="s">
        <v>304</v>
      </c>
      <c r="D85" s="12" t="s">
        <v>19</v>
      </c>
      <c r="E85" s="12" t="s">
        <v>305</v>
      </c>
      <c r="F85" s="35">
        <v>46114.0</v>
      </c>
      <c r="G85" s="12" t="s">
        <v>22</v>
      </c>
      <c r="H85" s="11" t="s">
        <v>204</v>
      </c>
      <c r="I85" s="12" t="s">
        <v>282</v>
      </c>
      <c r="J85" s="12" t="s">
        <v>25</v>
      </c>
      <c r="K85" s="12" t="s">
        <v>47</v>
      </c>
      <c r="L85" s="12" t="s">
        <v>48</v>
      </c>
      <c r="M85" s="12" t="s">
        <v>306</v>
      </c>
      <c r="N85" s="37" t="s">
        <v>312</v>
      </c>
    </row>
    <row r="86" ht="15.75" customHeight="1">
      <c r="A86" s="40" t="s">
        <v>313</v>
      </c>
      <c r="B86" s="29"/>
      <c r="C86" s="29"/>
      <c r="D86" s="29"/>
      <c r="E86" s="29"/>
      <c r="F86" s="29"/>
      <c r="G86" s="31" t="s">
        <v>22</v>
      </c>
      <c r="H86" s="31" t="s">
        <v>208</v>
      </c>
      <c r="I86" s="31" t="s">
        <v>47</v>
      </c>
      <c r="J86" s="29"/>
      <c r="K86" s="29"/>
      <c r="L86" s="31" t="s">
        <v>48</v>
      </c>
      <c r="M86" s="31" t="s">
        <v>309</v>
      </c>
      <c r="N86" s="29"/>
    </row>
    <row r="87" ht="15.75" customHeight="1">
      <c r="A87" s="44" t="s">
        <v>302</v>
      </c>
      <c r="B87" s="45" t="s">
        <v>314</v>
      </c>
      <c r="C87" s="45" t="s">
        <v>296</v>
      </c>
      <c r="D87" s="45" t="s">
        <v>201</v>
      </c>
      <c r="E87" s="45" t="s">
        <v>315</v>
      </c>
      <c r="F87" s="46">
        <v>46057.0</v>
      </c>
      <c r="G87" s="45" t="s">
        <v>22</v>
      </c>
      <c r="H87" s="47" t="s">
        <v>204</v>
      </c>
      <c r="I87" s="45" t="s">
        <v>47</v>
      </c>
      <c r="J87" s="45" t="s">
        <v>25</v>
      </c>
      <c r="K87" s="45" t="s">
        <v>47</v>
      </c>
      <c r="L87" s="45" t="s">
        <v>316</v>
      </c>
      <c r="M87" s="48" t="s">
        <v>317</v>
      </c>
      <c r="N87" s="49" t="s">
        <v>318</v>
      </c>
      <c r="O87" s="50"/>
      <c r="P87" s="51"/>
      <c r="Q87" s="51"/>
      <c r="R87" s="51"/>
      <c r="S87" s="51"/>
      <c r="T87" s="51"/>
      <c r="U87" s="51"/>
      <c r="V87" s="51"/>
      <c r="W87" s="51"/>
      <c r="X87" s="51"/>
      <c r="Y87" s="51"/>
      <c r="Z87" s="51"/>
      <c r="AA87" s="51"/>
      <c r="AB87" s="51"/>
    </row>
    <row r="88" ht="15.75" customHeight="1">
      <c r="A88" s="52" t="s">
        <v>308</v>
      </c>
      <c r="B88" s="29"/>
      <c r="C88" s="29"/>
      <c r="D88" s="29"/>
      <c r="E88" s="29"/>
      <c r="F88" s="29"/>
      <c r="G88" s="53" t="s">
        <v>22</v>
      </c>
      <c r="H88" s="53" t="s">
        <v>208</v>
      </c>
      <c r="I88" s="53" t="s">
        <v>47</v>
      </c>
      <c r="J88" s="29"/>
      <c r="K88" s="29"/>
      <c r="L88" s="53" t="s">
        <v>319</v>
      </c>
      <c r="M88" s="54" t="s">
        <v>320</v>
      </c>
      <c r="N88" s="29"/>
      <c r="O88" s="51"/>
      <c r="P88" s="51"/>
      <c r="Q88" s="51"/>
      <c r="R88" s="51"/>
      <c r="S88" s="51"/>
      <c r="T88" s="51"/>
      <c r="U88" s="51"/>
      <c r="V88" s="51"/>
      <c r="W88" s="51"/>
      <c r="X88" s="51"/>
      <c r="Y88" s="51"/>
      <c r="Z88" s="51"/>
      <c r="AA88" s="51"/>
      <c r="AB88" s="51"/>
    </row>
    <row r="89" ht="15.75" customHeight="1">
      <c r="A89" s="27" t="s">
        <v>310</v>
      </c>
      <c r="B89" s="12" t="s">
        <v>321</v>
      </c>
      <c r="C89" s="11" t="s">
        <v>200</v>
      </c>
      <c r="D89" s="12" t="s">
        <v>19</v>
      </c>
      <c r="E89" s="12" t="s">
        <v>322</v>
      </c>
      <c r="F89" s="35">
        <v>46072.0</v>
      </c>
      <c r="G89" s="12" t="s">
        <v>22</v>
      </c>
      <c r="H89" s="11" t="s">
        <v>204</v>
      </c>
      <c r="I89" s="12" t="s">
        <v>47</v>
      </c>
      <c r="J89" s="12" t="s">
        <v>25</v>
      </c>
      <c r="K89" s="12" t="s">
        <v>47</v>
      </c>
      <c r="L89" s="12" t="s">
        <v>48</v>
      </c>
      <c r="M89" s="36" t="s">
        <v>323</v>
      </c>
      <c r="N89" s="37" t="s">
        <v>324</v>
      </c>
    </row>
    <row r="90" ht="15.75" customHeight="1">
      <c r="A90" s="28" t="s">
        <v>313</v>
      </c>
      <c r="B90" s="29"/>
      <c r="C90" s="29"/>
      <c r="D90" s="29"/>
      <c r="E90" s="29"/>
      <c r="F90" s="29"/>
      <c r="G90" s="31" t="s">
        <v>22</v>
      </c>
      <c r="H90" s="31" t="s">
        <v>208</v>
      </c>
      <c r="I90" s="31" t="s">
        <v>47</v>
      </c>
      <c r="J90" s="29"/>
      <c r="K90" s="29"/>
      <c r="L90" s="31" t="s">
        <v>48</v>
      </c>
      <c r="M90" s="32" t="s">
        <v>325</v>
      </c>
      <c r="N90" s="29"/>
    </row>
    <row r="91" ht="15.75" customHeight="1">
      <c r="A91" s="27" t="s">
        <v>326</v>
      </c>
      <c r="B91" s="12" t="s">
        <v>327</v>
      </c>
      <c r="C91" s="11" t="s">
        <v>200</v>
      </c>
      <c r="D91" s="12" t="s">
        <v>201</v>
      </c>
      <c r="E91" s="12" t="s">
        <v>322</v>
      </c>
      <c r="F91" s="35">
        <v>46072.0</v>
      </c>
      <c r="G91" s="12" t="s">
        <v>22</v>
      </c>
      <c r="H91" s="11" t="s">
        <v>204</v>
      </c>
      <c r="I91" s="12" t="s">
        <v>47</v>
      </c>
      <c r="J91" s="12" t="s">
        <v>25</v>
      </c>
      <c r="K91" s="12" t="s">
        <v>47</v>
      </c>
      <c r="L91" s="12" t="s">
        <v>48</v>
      </c>
      <c r="M91" s="36" t="s">
        <v>328</v>
      </c>
      <c r="N91" s="37" t="s">
        <v>329</v>
      </c>
    </row>
    <row r="92" ht="15.75" customHeight="1">
      <c r="A92" s="28" t="s">
        <v>330</v>
      </c>
      <c r="B92" s="29"/>
      <c r="C92" s="29"/>
      <c r="D92" s="29"/>
      <c r="E92" s="29"/>
      <c r="F92" s="29"/>
      <c r="G92" s="31" t="s">
        <v>22</v>
      </c>
      <c r="H92" s="31" t="s">
        <v>208</v>
      </c>
      <c r="I92" s="31" t="s">
        <v>47</v>
      </c>
      <c r="J92" s="29"/>
      <c r="K92" s="29"/>
      <c r="L92" s="31" t="s">
        <v>48</v>
      </c>
      <c r="M92" s="32" t="s">
        <v>331</v>
      </c>
      <c r="N92" s="29"/>
    </row>
    <row r="93" ht="15.75" customHeight="1">
      <c r="A93" s="27" t="s">
        <v>332</v>
      </c>
      <c r="B93" s="12" t="s">
        <v>333</v>
      </c>
      <c r="C93" s="12" t="s">
        <v>296</v>
      </c>
      <c r="D93" s="12" t="s">
        <v>19</v>
      </c>
      <c r="E93" s="12" t="s">
        <v>334</v>
      </c>
      <c r="F93" s="35">
        <v>46117.0</v>
      </c>
      <c r="G93" s="12" t="s">
        <v>22</v>
      </c>
      <c r="H93" s="11" t="s">
        <v>204</v>
      </c>
      <c r="I93" s="12" t="s">
        <v>47</v>
      </c>
      <c r="J93" s="12" t="s">
        <v>25</v>
      </c>
      <c r="K93" s="12" t="s">
        <v>47</v>
      </c>
      <c r="L93" s="12" t="s">
        <v>48</v>
      </c>
      <c r="M93" s="36" t="s">
        <v>335</v>
      </c>
      <c r="N93" s="37" t="s">
        <v>336</v>
      </c>
    </row>
    <row r="94" ht="15.75" customHeight="1">
      <c r="A94" s="28" t="s">
        <v>337</v>
      </c>
      <c r="B94" s="29"/>
      <c r="C94" s="29"/>
      <c r="D94" s="29"/>
      <c r="E94" s="29"/>
      <c r="F94" s="29"/>
      <c r="G94" s="31" t="s">
        <v>22</v>
      </c>
      <c r="H94" s="31" t="s">
        <v>208</v>
      </c>
      <c r="I94" s="31" t="s">
        <v>47</v>
      </c>
      <c r="J94" s="29"/>
      <c r="K94" s="29"/>
      <c r="L94" s="31" t="s">
        <v>48</v>
      </c>
      <c r="M94" s="32" t="s">
        <v>338</v>
      </c>
      <c r="N94" s="29"/>
    </row>
    <row r="95" ht="15.75" customHeight="1">
      <c r="A95" s="40" t="s">
        <v>339</v>
      </c>
      <c r="B95" s="12" t="s">
        <v>340</v>
      </c>
      <c r="C95" s="11" t="s">
        <v>200</v>
      </c>
      <c r="D95" s="12" t="s">
        <v>19</v>
      </c>
      <c r="E95" s="12" t="s">
        <v>341</v>
      </c>
      <c r="F95" s="35">
        <v>46117.0</v>
      </c>
      <c r="G95" s="12" t="s">
        <v>22</v>
      </c>
      <c r="H95" s="11" t="s">
        <v>204</v>
      </c>
      <c r="I95" s="12" t="s">
        <v>47</v>
      </c>
      <c r="J95" s="12" t="s">
        <v>25</v>
      </c>
      <c r="K95" s="12" t="s">
        <v>47</v>
      </c>
      <c r="L95" s="12" t="s">
        <v>48</v>
      </c>
      <c r="M95" s="36" t="s">
        <v>342</v>
      </c>
      <c r="N95" s="37" t="s">
        <v>343</v>
      </c>
    </row>
    <row r="96" ht="15.75" customHeight="1">
      <c r="A96" s="42" t="s">
        <v>344</v>
      </c>
      <c r="B96" s="29"/>
      <c r="C96" s="29"/>
      <c r="D96" s="29"/>
      <c r="E96" s="29"/>
      <c r="F96" s="29"/>
      <c r="G96" s="31" t="s">
        <v>22</v>
      </c>
      <c r="H96" s="31" t="s">
        <v>208</v>
      </c>
      <c r="I96" s="31" t="s">
        <v>47</v>
      </c>
      <c r="J96" s="29"/>
      <c r="K96" s="29"/>
      <c r="L96" s="31" t="s">
        <v>48</v>
      </c>
      <c r="M96" s="32" t="s">
        <v>345</v>
      </c>
      <c r="N96" s="29"/>
    </row>
    <row r="97" ht="15.75" customHeight="1">
      <c r="A97" s="40" t="s">
        <v>346</v>
      </c>
      <c r="B97" s="12" t="s">
        <v>347</v>
      </c>
      <c r="C97" s="11" t="s">
        <v>200</v>
      </c>
      <c r="D97" s="12" t="s">
        <v>201</v>
      </c>
      <c r="E97" s="12" t="s">
        <v>348</v>
      </c>
      <c r="F97" s="35">
        <v>46117.0</v>
      </c>
      <c r="G97" s="12" t="s">
        <v>22</v>
      </c>
      <c r="H97" s="11" t="s">
        <v>204</v>
      </c>
      <c r="I97" s="12" t="s">
        <v>47</v>
      </c>
      <c r="J97" s="12" t="s">
        <v>25</v>
      </c>
      <c r="K97" s="12" t="s">
        <v>47</v>
      </c>
      <c r="L97" s="12" t="s">
        <v>48</v>
      </c>
      <c r="M97" s="36" t="s">
        <v>349</v>
      </c>
      <c r="N97" s="37" t="s">
        <v>350</v>
      </c>
    </row>
    <row r="98" ht="15.75" customHeight="1">
      <c r="A98" s="42" t="s">
        <v>351</v>
      </c>
      <c r="B98" s="14"/>
      <c r="C98" s="29"/>
      <c r="D98" s="29"/>
      <c r="E98" s="29"/>
      <c r="F98" s="29"/>
      <c r="G98" s="31" t="s">
        <v>22</v>
      </c>
      <c r="H98" s="31" t="s">
        <v>208</v>
      </c>
      <c r="I98" s="12" t="s">
        <v>47</v>
      </c>
      <c r="J98" s="29"/>
      <c r="K98" s="29"/>
      <c r="L98" s="12" t="s">
        <v>48</v>
      </c>
      <c r="M98" s="36" t="s">
        <v>352</v>
      </c>
      <c r="N98" s="14"/>
    </row>
    <row r="99" ht="15.75" customHeight="1">
      <c r="A99" s="55" t="s">
        <v>353</v>
      </c>
      <c r="B99" s="55" t="s">
        <v>1</v>
      </c>
      <c r="C99" s="55" t="s">
        <v>2</v>
      </c>
      <c r="D99" s="55" t="s">
        <v>3</v>
      </c>
      <c r="E99" s="55" t="s">
        <v>4</v>
      </c>
      <c r="F99" s="55" t="s">
        <v>5</v>
      </c>
      <c r="G99" s="55" t="s">
        <v>6</v>
      </c>
      <c r="H99" s="55" t="s">
        <v>7</v>
      </c>
      <c r="I99" s="55" t="s">
        <v>8</v>
      </c>
      <c r="J99" s="56" t="s">
        <v>9</v>
      </c>
      <c r="K99" s="56" t="s">
        <v>10</v>
      </c>
      <c r="L99" s="55" t="s">
        <v>11</v>
      </c>
      <c r="M99" s="55" t="s">
        <v>12</v>
      </c>
      <c r="N99" s="55" t="s">
        <v>13</v>
      </c>
    </row>
    <row r="100" ht="15.75" customHeight="1">
      <c r="A100" s="11" t="s">
        <v>354</v>
      </c>
      <c r="B100" s="11" t="s">
        <v>355</v>
      </c>
      <c r="C100" s="11" t="s">
        <v>356</v>
      </c>
      <c r="D100" s="11" t="s">
        <v>357</v>
      </c>
      <c r="E100" s="9" t="s">
        <v>358</v>
      </c>
      <c r="F100" s="11" t="s">
        <v>21</v>
      </c>
      <c r="G100" s="11" t="s">
        <v>22</v>
      </c>
      <c r="H100" s="11" t="s">
        <v>359</v>
      </c>
      <c r="I100" s="11" t="s">
        <v>47</v>
      </c>
      <c r="J100" s="12" t="s">
        <v>25</v>
      </c>
      <c r="K100" s="12" t="s">
        <v>47</v>
      </c>
      <c r="L100" s="11" t="s">
        <v>48</v>
      </c>
      <c r="M100" s="9" t="s">
        <v>360</v>
      </c>
      <c r="N100" s="19" t="s">
        <v>361</v>
      </c>
    </row>
    <row r="101" ht="15.75" customHeight="1">
      <c r="A101" s="11" t="s">
        <v>362</v>
      </c>
      <c r="B101" s="14"/>
      <c r="C101" s="14"/>
      <c r="D101" s="14"/>
      <c r="F101" s="14"/>
      <c r="G101" s="11" t="s">
        <v>22</v>
      </c>
      <c r="H101" s="12" t="s">
        <v>23</v>
      </c>
      <c r="I101" s="12" t="s">
        <v>47</v>
      </c>
      <c r="J101" s="14"/>
      <c r="K101" s="14"/>
      <c r="L101" s="40" t="s">
        <v>48</v>
      </c>
      <c r="M101" s="36" t="s">
        <v>363</v>
      </c>
      <c r="N101" s="14"/>
    </row>
    <row r="102" ht="15.75" customHeight="1">
      <c r="A102" s="11" t="s">
        <v>364</v>
      </c>
      <c r="B102" s="12" t="s">
        <v>365</v>
      </c>
      <c r="C102" s="11" t="s">
        <v>356</v>
      </c>
      <c r="D102" s="11" t="s">
        <v>19</v>
      </c>
      <c r="E102" s="9" t="s">
        <v>358</v>
      </c>
      <c r="F102" s="11" t="s">
        <v>203</v>
      </c>
      <c r="G102" s="11" t="s">
        <v>22</v>
      </c>
      <c r="H102" s="11" t="s">
        <v>359</v>
      </c>
      <c r="I102" s="12" t="s">
        <v>24</v>
      </c>
      <c r="J102" s="40" t="s">
        <v>25</v>
      </c>
      <c r="K102" s="40" t="s">
        <v>24</v>
      </c>
      <c r="L102" s="27" t="s">
        <v>97</v>
      </c>
      <c r="M102" s="9" t="s">
        <v>366</v>
      </c>
      <c r="N102" s="19" t="s">
        <v>367</v>
      </c>
    </row>
    <row r="103" ht="15.75" customHeight="1">
      <c r="A103" s="11" t="s">
        <v>368</v>
      </c>
      <c r="B103" s="14"/>
      <c r="C103" s="14"/>
      <c r="D103" s="14"/>
      <c r="F103" s="14"/>
      <c r="G103" s="11" t="s">
        <v>22</v>
      </c>
      <c r="H103" s="12" t="s">
        <v>23</v>
      </c>
      <c r="I103" s="12" t="s">
        <v>24</v>
      </c>
      <c r="J103" s="15"/>
      <c r="K103" s="15"/>
      <c r="L103" s="40" t="s">
        <v>163</v>
      </c>
      <c r="M103" s="36" t="s">
        <v>369</v>
      </c>
      <c r="N103" s="14"/>
    </row>
    <row r="104" ht="15.75" customHeight="1">
      <c r="A104" s="11" t="s">
        <v>370</v>
      </c>
      <c r="B104" s="11" t="s">
        <v>371</v>
      </c>
      <c r="C104" s="11" t="s">
        <v>356</v>
      </c>
      <c r="D104" s="11" t="s">
        <v>251</v>
      </c>
      <c r="E104" s="9" t="s">
        <v>358</v>
      </c>
      <c r="F104" s="11" t="s">
        <v>203</v>
      </c>
      <c r="G104" s="11" t="s">
        <v>22</v>
      </c>
      <c r="H104" s="11" t="s">
        <v>359</v>
      </c>
      <c r="I104" s="12" t="s">
        <v>47</v>
      </c>
      <c r="J104" s="40" t="s">
        <v>25</v>
      </c>
      <c r="K104" s="40" t="s">
        <v>47</v>
      </c>
      <c r="L104" s="27" t="s">
        <v>48</v>
      </c>
      <c r="M104" s="9" t="s">
        <v>372</v>
      </c>
      <c r="N104" s="19" t="s">
        <v>373</v>
      </c>
    </row>
    <row r="105" ht="15.75" customHeight="1">
      <c r="A105" s="11" t="s">
        <v>374</v>
      </c>
      <c r="B105" s="14"/>
      <c r="C105" s="14"/>
      <c r="D105" s="14"/>
      <c r="F105" s="14"/>
      <c r="G105" s="11" t="s">
        <v>22</v>
      </c>
      <c r="H105" s="12" t="s">
        <v>23</v>
      </c>
      <c r="I105" s="12" t="s">
        <v>47</v>
      </c>
      <c r="J105" s="15"/>
      <c r="K105" s="15"/>
      <c r="L105" s="57" t="s">
        <v>48</v>
      </c>
      <c r="M105" s="36" t="s">
        <v>375</v>
      </c>
      <c r="N105" s="14"/>
    </row>
    <row r="106" ht="15.75" customHeight="1">
      <c r="A106" s="11" t="s">
        <v>376</v>
      </c>
      <c r="B106" s="11" t="s">
        <v>377</v>
      </c>
      <c r="C106" s="11" t="s">
        <v>356</v>
      </c>
      <c r="D106" s="11" t="s">
        <v>19</v>
      </c>
      <c r="E106" s="9" t="s">
        <v>358</v>
      </c>
      <c r="F106" s="11" t="s">
        <v>220</v>
      </c>
      <c r="G106" s="11" t="s">
        <v>22</v>
      </c>
      <c r="H106" s="11" t="s">
        <v>359</v>
      </c>
      <c r="I106" s="12" t="s">
        <v>47</v>
      </c>
      <c r="J106" s="12" t="s">
        <v>25</v>
      </c>
      <c r="K106" s="12" t="s">
        <v>47</v>
      </c>
      <c r="L106" s="11" t="s">
        <v>48</v>
      </c>
      <c r="M106" s="9" t="s">
        <v>378</v>
      </c>
      <c r="N106" s="19" t="s">
        <v>379</v>
      </c>
    </row>
    <row r="107" ht="15.75" customHeight="1">
      <c r="A107" s="11" t="s">
        <v>380</v>
      </c>
      <c r="B107" s="14"/>
      <c r="C107" s="14"/>
      <c r="D107" s="14"/>
      <c r="F107" s="14"/>
      <c r="G107" s="11" t="s">
        <v>22</v>
      </c>
      <c r="H107" s="12" t="s">
        <v>23</v>
      </c>
      <c r="I107" s="14"/>
      <c r="J107" s="14"/>
      <c r="K107" s="14"/>
      <c r="L107" s="12" t="s">
        <v>48</v>
      </c>
      <c r="M107" s="36" t="s">
        <v>381</v>
      </c>
      <c r="N107" s="14"/>
    </row>
    <row r="108" ht="15.75" customHeight="1">
      <c r="A108" s="47" t="s">
        <v>382</v>
      </c>
      <c r="B108" s="47" t="s">
        <v>383</v>
      </c>
      <c r="C108" s="47" t="s">
        <v>356</v>
      </c>
      <c r="D108" s="47" t="s">
        <v>19</v>
      </c>
      <c r="E108" s="58" t="s">
        <v>358</v>
      </c>
      <c r="F108" s="47" t="s">
        <v>220</v>
      </c>
      <c r="G108" s="47" t="s">
        <v>22</v>
      </c>
      <c r="H108" s="47" t="s">
        <v>359</v>
      </c>
      <c r="I108" s="45" t="s">
        <v>47</v>
      </c>
      <c r="J108" s="45" t="s">
        <v>151</v>
      </c>
      <c r="K108" s="45" t="s">
        <v>47</v>
      </c>
      <c r="L108" s="47" t="s">
        <v>48</v>
      </c>
      <c r="M108" s="58" t="s">
        <v>384</v>
      </c>
      <c r="N108" s="59" t="s">
        <v>385</v>
      </c>
      <c r="O108" s="51"/>
      <c r="P108" s="51"/>
      <c r="Q108" s="51"/>
      <c r="R108" s="51"/>
      <c r="S108" s="51"/>
      <c r="T108" s="51"/>
      <c r="U108" s="51"/>
      <c r="V108" s="51"/>
      <c r="W108" s="51"/>
      <c r="X108" s="51"/>
      <c r="Y108" s="51"/>
      <c r="Z108" s="51"/>
      <c r="AA108" s="51"/>
      <c r="AB108" s="51"/>
    </row>
    <row r="109" ht="15.75" customHeight="1">
      <c r="A109" s="47" t="s">
        <v>386</v>
      </c>
      <c r="B109" s="14"/>
      <c r="C109" s="14"/>
      <c r="D109" s="14"/>
      <c r="F109" s="14"/>
      <c r="G109" s="47" t="s">
        <v>22</v>
      </c>
      <c r="H109" s="45" t="s">
        <v>23</v>
      </c>
      <c r="I109" s="45" t="s">
        <v>24</v>
      </c>
      <c r="J109" s="14"/>
      <c r="K109" s="14"/>
      <c r="L109" s="45" t="s">
        <v>387</v>
      </c>
      <c r="M109" s="48" t="s">
        <v>388</v>
      </c>
      <c r="N109" s="14"/>
      <c r="O109" s="51"/>
      <c r="P109" s="51"/>
      <c r="Q109" s="51"/>
      <c r="R109" s="51"/>
      <c r="S109" s="51"/>
      <c r="T109" s="51"/>
      <c r="U109" s="51"/>
      <c r="V109" s="51"/>
      <c r="W109" s="51"/>
      <c r="X109" s="51"/>
      <c r="Y109" s="51"/>
      <c r="Z109" s="51"/>
      <c r="AA109" s="51"/>
      <c r="AB109" s="51"/>
    </row>
    <row r="110" ht="15.75" customHeight="1">
      <c r="A110" s="11" t="s">
        <v>389</v>
      </c>
      <c r="B110" s="11" t="s">
        <v>390</v>
      </c>
      <c r="C110" s="11" t="s">
        <v>356</v>
      </c>
      <c r="D110" s="11" t="s">
        <v>19</v>
      </c>
      <c r="E110" s="9" t="s">
        <v>358</v>
      </c>
      <c r="F110" s="11" t="s">
        <v>220</v>
      </c>
      <c r="G110" s="11" t="s">
        <v>22</v>
      </c>
      <c r="H110" s="11" t="s">
        <v>359</v>
      </c>
      <c r="I110" s="11" t="s">
        <v>47</v>
      </c>
      <c r="J110" s="12" t="s">
        <v>25</v>
      </c>
      <c r="K110" s="12" t="s">
        <v>47</v>
      </c>
      <c r="L110" s="11" t="s">
        <v>48</v>
      </c>
      <c r="M110" s="9" t="s">
        <v>391</v>
      </c>
      <c r="N110" s="19" t="s">
        <v>392</v>
      </c>
    </row>
    <row r="111" ht="15.75" customHeight="1">
      <c r="A111" s="11" t="s">
        <v>393</v>
      </c>
      <c r="B111" s="14"/>
      <c r="C111" s="14"/>
      <c r="D111" s="14"/>
      <c r="F111" s="14"/>
      <c r="G111" s="11" t="s">
        <v>22</v>
      </c>
      <c r="H111" s="12" t="s">
        <v>23</v>
      </c>
      <c r="I111" s="12" t="s">
        <v>47</v>
      </c>
      <c r="J111" s="14"/>
      <c r="K111" s="14"/>
      <c r="L111" s="12" t="s">
        <v>48</v>
      </c>
      <c r="M111" s="36" t="s">
        <v>394</v>
      </c>
      <c r="N111" s="14"/>
    </row>
    <row r="112" ht="15.75" customHeight="1">
      <c r="A112" s="47" t="s">
        <v>395</v>
      </c>
      <c r="B112" s="45" t="s">
        <v>396</v>
      </c>
      <c r="C112" s="47" t="s">
        <v>356</v>
      </c>
      <c r="D112" s="47" t="s">
        <v>19</v>
      </c>
      <c r="E112" s="58" t="s">
        <v>358</v>
      </c>
      <c r="F112" s="60">
        <v>46116.0</v>
      </c>
      <c r="G112" s="47" t="s">
        <v>22</v>
      </c>
      <c r="H112" s="45" t="s">
        <v>359</v>
      </c>
      <c r="I112" s="45" t="s">
        <v>47</v>
      </c>
      <c r="J112" s="45" t="s">
        <v>151</v>
      </c>
      <c r="K112" s="45" t="s">
        <v>47</v>
      </c>
      <c r="L112" s="45" t="s">
        <v>48</v>
      </c>
      <c r="M112" s="48" t="s">
        <v>397</v>
      </c>
      <c r="N112" s="59" t="s">
        <v>398</v>
      </c>
      <c r="O112" s="51"/>
      <c r="P112" s="51"/>
      <c r="Q112" s="51"/>
      <c r="R112" s="51"/>
      <c r="S112" s="51"/>
      <c r="T112" s="51"/>
      <c r="U112" s="51"/>
      <c r="V112" s="51"/>
      <c r="W112" s="51"/>
      <c r="X112" s="51"/>
      <c r="Y112" s="51"/>
      <c r="Z112" s="51"/>
      <c r="AA112" s="51"/>
      <c r="AB112" s="51"/>
    </row>
    <row r="113" ht="15.75" customHeight="1">
      <c r="A113" s="47" t="s">
        <v>399</v>
      </c>
      <c r="B113" s="14"/>
      <c r="C113" s="14"/>
      <c r="D113" s="14"/>
      <c r="F113" s="14"/>
      <c r="G113" s="47" t="s">
        <v>22</v>
      </c>
      <c r="H113" s="45" t="s">
        <v>23</v>
      </c>
      <c r="I113" s="45" t="s">
        <v>24</v>
      </c>
      <c r="J113" s="14"/>
      <c r="K113" s="14"/>
      <c r="L113" s="45" t="s">
        <v>97</v>
      </c>
      <c r="M113" s="48" t="s">
        <v>400</v>
      </c>
      <c r="N113" s="14"/>
      <c r="O113" s="51"/>
      <c r="P113" s="51"/>
      <c r="Q113" s="51"/>
      <c r="R113" s="51"/>
      <c r="S113" s="51"/>
      <c r="T113" s="51"/>
      <c r="U113" s="51"/>
      <c r="V113" s="51"/>
      <c r="W113" s="51"/>
      <c r="X113" s="51"/>
      <c r="Y113" s="51"/>
      <c r="Z113" s="51"/>
      <c r="AA113" s="51"/>
      <c r="AB113" s="51"/>
    </row>
    <row r="114" ht="15.75" customHeight="1">
      <c r="A114" s="11" t="s">
        <v>401</v>
      </c>
      <c r="B114" s="12" t="s">
        <v>402</v>
      </c>
      <c r="C114" s="11" t="s">
        <v>356</v>
      </c>
      <c r="D114" s="11" t="s">
        <v>19</v>
      </c>
      <c r="E114" s="36" t="s">
        <v>403</v>
      </c>
      <c r="F114" s="61">
        <v>46116.0</v>
      </c>
      <c r="G114" s="11" t="s">
        <v>22</v>
      </c>
      <c r="H114" s="12" t="s">
        <v>359</v>
      </c>
      <c r="I114" s="12" t="s">
        <v>47</v>
      </c>
      <c r="J114" s="45" t="s">
        <v>25</v>
      </c>
      <c r="K114" s="12" t="s">
        <v>47</v>
      </c>
      <c r="L114" s="62" t="s">
        <v>48</v>
      </c>
      <c r="M114" s="63" t="s">
        <v>404</v>
      </c>
      <c r="N114" s="13" t="s">
        <v>405</v>
      </c>
    </row>
    <row r="115" ht="15.75" customHeight="1">
      <c r="A115" s="11" t="s">
        <v>406</v>
      </c>
      <c r="B115" s="14"/>
      <c r="C115" s="14"/>
      <c r="D115" s="14"/>
      <c r="F115" s="14"/>
      <c r="G115" s="11" t="s">
        <v>22</v>
      </c>
      <c r="H115" s="12" t="s">
        <v>23</v>
      </c>
      <c r="I115" s="12" t="s">
        <v>47</v>
      </c>
      <c r="J115" s="14"/>
      <c r="K115" s="14"/>
      <c r="L115" s="12" t="s">
        <v>48</v>
      </c>
      <c r="M115" s="63" t="s">
        <v>407</v>
      </c>
      <c r="N115" s="14"/>
    </row>
    <row r="116" ht="15.75" customHeight="1">
      <c r="A116" s="11" t="s">
        <v>408</v>
      </c>
      <c r="B116" s="12" t="s">
        <v>409</v>
      </c>
      <c r="C116" s="11" t="s">
        <v>356</v>
      </c>
      <c r="D116" s="11" t="s">
        <v>19</v>
      </c>
      <c r="E116" s="36" t="s">
        <v>410</v>
      </c>
      <c r="F116" s="61">
        <v>46116.0</v>
      </c>
      <c r="G116" s="11" t="s">
        <v>22</v>
      </c>
      <c r="H116" s="12" t="s">
        <v>359</v>
      </c>
      <c r="I116" s="12" t="s">
        <v>47</v>
      </c>
      <c r="J116" s="45" t="s">
        <v>25</v>
      </c>
      <c r="K116" s="12" t="s">
        <v>47</v>
      </c>
      <c r="L116" s="62" t="s">
        <v>48</v>
      </c>
      <c r="M116" s="63" t="s">
        <v>411</v>
      </c>
      <c r="N116" s="13" t="s">
        <v>412</v>
      </c>
    </row>
    <row r="117" ht="15.75" customHeight="1">
      <c r="A117" s="11" t="s">
        <v>413</v>
      </c>
      <c r="B117" s="14"/>
      <c r="C117" s="14"/>
      <c r="D117" s="14"/>
      <c r="F117" s="14"/>
      <c r="G117" s="11" t="s">
        <v>22</v>
      </c>
      <c r="H117" s="12" t="s">
        <v>23</v>
      </c>
      <c r="I117" s="12" t="s">
        <v>47</v>
      </c>
      <c r="J117" s="14"/>
      <c r="K117" s="14"/>
      <c r="L117" s="12" t="s">
        <v>48</v>
      </c>
      <c r="M117" s="63" t="s">
        <v>414</v>
      </c>
      <c r="N117" s="14"/>
    </row>
    <row r="118" ht="15.75" customHeight="1">
      <c r="A118" s="11" t="s">
        <v>415</v>
      </c>
      <c r="B118" s="12" t="s">
        <v>416</v>
      </c>
      <c r="C118" s="11" t="s">
        <v>356</v>
      </c>
      <c r="D118" s="11" t="s">
        <v>19</v>
      </c>
      <c r="E118" s="36" t="s">
        <v>358</v>
      </c>
      <c r="F118" s="61">
        <v>46116.0</v>
      </c>
      <c r="G118" s="11" t="s">
        <v>22</v>
      </c>
      <c r="H118" s="12" t="s">
        <v>359</v>
      </c>
      <c r="I118" s="12" t="s">
        <v>47</v>
      </c>
      <c r="J118" s="45" t="s">
        <v>25</v>
      </c>
      <c r="K118" s="12" t="s">
        <v>47</v>
      </c>
      <c r="L118" s="62" t="s">
        <v>316</v>
      </c>
      <c r="M118" s="20" t="s">
        <v>417</v>
      </c>
      <c r="N118" s="13" t="s">
        <v>418</v>
      </c>
    </row>
    <row r="119" ht="15.75" customHeight="1">
      <c r="A119" s="11" t="s">
        <v>419</v>
      </c>
      <c r="B119" s="14"/>
      <c r="C119" s="14"/>
      <c r="D119" s="14"/>
      <c r="F119" s="14"/>
      <c r="G119" s="11" t="s">
        <v>22</v>
      </c>
      <c r="H119" s="12" t="s">
        <v>23</v>
      </c>
      <c r="I119" s="12" t="s">
        <v>47</v>
      </c>
      <c r="J119" s="14"/>
      <c r="K119" s="14"/>
      <c r="L119" s="62" t="s">
        <v>316</v>
      </c>
      <c r="M119" s="48" t="s">
        <v>420</v>
      </c>
      <c r="N119" s="14"/>
    </row>
    <row r="120" ht="15.75" customHeight="1">
      <c r="A120" s="11" t="s">
        <v>421</v>
      </c>
      <c r="B120" s="12" t="s">
        <v>422</v>
      </c>
      <c r="C120" s="11" t="s">
        <v>356</v>
      </c>
      <c r="D120" s="11" t="s">
        <v>19</v>
      </c>
      <c r="E120" s="36" t="s">
        <v>358</v>
      </c>
      <c r="F120" s="61">
        <v>46146.0</v>
      </c>
      <c r="G120" s="11" t="s">
        <v>22</v>
      </c>
      <c r="H120" s="12" t="s">
        <v>359</v>
      </c>
      <c r="I120" s="12" t="s">
        <v>47</v>
      </c>
      <c r="J120" s="45" t="s">
        <v>25</v>
      </c>
      <c r="K120" s="12" t="s">
        <v>47</v>
      </c>
      <c r="L120" s="45" t="s">
        <v>48</v>
      </c>
      <c r="M120" s="36" t="s">
        <v>423</v>
      </c>
      <c r="N120" s="13" t="s">
        <v>424</v>
      </c>
    </row>
    <row r="121" ht="15.75" customHeight="1">
      <c r="A121" s="11" t="s">
        <v>425</v>
      </c>
      <c r="B121" s="14"/>
      <c r="C121" s="14"/>
      <c r="D121" s="14"/>
      <c r="F121" s="14"/>
      <c r="G121" s="11" t="s">
        <v>22</v>
      </c>
      <c r="H121" s="12" t="s">
        <v>23</v>
      </c>
      <c r="I121" s="12" t="s">
        <v>47</v>
      </c>
      <c r="J121" s="14"/>
      <c r="K121" s="14"/>
      <c r="L121" s="45" t="s">
        <v>48</v>
      </c>
      <c r="M121" s="36" t="s">
        <v>426</v>
      </c>
      <c r="N121" s="14"/>
    </row>
    <row r="122" ht="15.75" customHeight="1">
      <c r="A122" s="11" t="s">
        <v>427</v>
      </c>
      <c r="B122" s="12" t="s">
        <v>428</v>
      </c>
      <c r="C122" s="11" t="s">
        <v>356</v>
      </c>
      <c r="D122" s="11" t="s">
        <v>19</v>
      </c>
      <c r="E122" s="36" t="s">
        <v>358</v>
      </c>
      <c r="F122" s="61">
        <v>46146.0</v>
      </c>
      <c r="G122" s="11" t="s">
        <v>22</v>
      </c>
      <c r="H122" s="12" t="s">
        <v>359</v>
      </c>
      <c r="I122" s="12" t="s">
        <v>47</v>
      </c>
      <c r="J122" s="45" t="s">
        <v>25</v>
      </c>
      <c r="K122" s="12" t="s">
        <v>47</v>
      </c>
      <c r="L122" s="45" t="s">
        <v>48</v>
      </c>
      <c r="M122" s="36" t="s">
        <v>429</v>
      </c>
      <c r="N122" s="13" t="s">
        <v>430</v>
      </c>
    </row>
    <row r="123" ht="15.75" customHeight="1">
      <c r="A123" s="11" t="s">
        <v>431</v>
      </c>
      <c r="B123" s="14"/>
      <c r="C123" s="14"/>
      <c r="D123" s="14"/>
      <c r="F123" s="14"/>
      <c r="G123" s="11" t="s">
        <v>22</v>
      </c>
      <c r="H123" s="12" t="s">
        <v>23</v>
      </c>
      <c r="I123" s="12" t="s">
        <v>47</v>
      </c>
      <c r="J123" s="14"/>
      <c r="K123" s="14"/>
      <c r="L123" s="45" t="s">
        <v>48</v>
      </c>
      <c r="M123" s="36" t="s">
        <v>432</v>
      </c>
      <c r="N123" s="14"/>
    </row>
    <row r="124" ht="15.75" customHeight="1">
      <c r="A124" s="11" t="s">
        <v>433</v>
      </c>
      <c r="B124" s="12" t="s">
        <v>434</v>
      </c>
      <c r="C124" s="11" t="s">
        <v>356</v>
      </c>
      <c r="D124" s="11" t="s">
        <v>19</v>
      </c>
      <c r="E124" s="36" t="s">
        <v>358</v>
      </c>
      <c r="F124" s="61">
        <v>46146.0</v>
      </c>
      <c r="G124" s="11" t="s">
        <v>22</v>
      </c>
      <c r="H124" s="45" t="s">
        <v>359</v>
      </c>
      <c r="I124" s="45" t="s">
        <v>47</v>
      </c>
      <c r="J124" s="45" t="s">
        <v>25</v>
      </c>
      <c r="K124" s="45" t="s">
        <v>47</v>
      </c>
      <c r="L124" s="62" t="s">
        <v>316</v>
      </c>
      <c r="M124" s="36" t="s">
        <v>435</v>
      </c>
      <c r="N124" s="64" t="s">
        <v>436</v>
      </c>
    </row>
    <row r="125" ht="15.75" customHeight="1">
      <c r="A125" s="11" t="s">
        <v>437</v>
      </c>
      <c r="B125" s="14"/>
      <c r="C125" s="14"/>
      <c r="D125" s="14"/>
      <c r="F125" s="14"/>
      <c r="G125" s="11" t="s">
        <v>22</v>
      </c>
      <c r="H125" s="45" t="s">
        <v>23</v>
      </c>
      <c r="I125" s="45" t="s">
        <v>47</v>
      </c>
      <c r="J125" s="14"/>
      <c r="K125" s="14"/>
      <c r="L125" s="62" t="s">
        <v>316</v>
      </c>
      <c r="M125" s="36" t="s">
        <v>438</v>
      </c>
      <c r="N125" s="14"/>
    </row>
    <row r="126" ht="21.0" customHeight="1">
      <c r="A126" s="11" t="s">
        <v>439</v>
      </c>
      <c r="B126" s="12" t="s">
        <v>440</v>
      </c>
      <c r="C126" s="11" t="s">
        <v>356</v>
      </c>
      <c r="D126" s="12" t="s">
        <v>251</v>
      </c>
      <c r="E126" s="36" t="s">
        <v>358</v>
      </c>
      <c r="F126" s="61">
        <v>46146.0</v>
      </c>
      <c r="G126" s="11" t="s">
        <v>22</v>
      </c>
      <c r="H126" s="12" t="s">
        <v>359</v>
      </c>
      <c r="I126" s="12" t="s">
        <v>47</v>
      </c>
      <c r="J126" s="45" t="s">
        <v>25</v>
      </c>
      <c r="K126" s="12" t="s">
        <v>47</v>
      </c>
      <c r="L126" s="62" t="s">
        <v>316</v>
      </c>
      <c r="M126" s="36" t="s">
        <v>441</v>
      </c>
      <c r="N126" s="64" t="s">
        <v>442</v>
      </c>
    </row>
    <row r="127" ht="22.5" customHeight="1">
      <c r="A127" s="11" t="s">
        <v>443</v>
      </c>
      <c r="B127" s="14"/>
      <c r="C127" s="14"/>
      <c r="D127" s="14"/>
      <c r="F127" s="14"/>
      <c r="G127" s="11" t="s">
        <v>22</v>
      </c>
      <c r="H127" s="12" t="s">
        <v>23</v>
      </c>
      <c r="I127" s="12" t="s">
        <v>47</v>
      </c>
      <c r="J127" s="14"/>
      <c r="K127" s="14"/>
      <c r="L127" s="62" t="s">
        <v>316</v>
      </c>
      <c r="M127" s="36" t="s">
        <v>444</v>
      </c>
      <c r="N127" s="14"/>
    </row>
    <row r="128" ht="22.5" customHeight="1">
      <c r="A128" s="11" t="s">
        <v>445</v>
      </c>
      <c r="B128" s="12" t="s">
        <v>446</v>
      </c>
      <c r="C128" s="11" t="s">
        <v>356</v>
      </c>
      <c r="D128" s="12" t="s">
        <v>251</v>
      </c>
      <c r="E128" s="65" t="s">
        <v>358</v>
      </c>
      <c r="F128" s="61">
        <v>46146.0</v>
      </c>
      <c r="G128" s="11" t="s">
        <v>22</v>
      </c>
      <c r="H128" s="12" t="s">
        <v>359</v>
      </c>
      <c r="I128" s="12" t="s">
        <v>47</v>
      </c>
      <c r="J128" s="45" t="s">
        <v>25</v>
      </c>
      <c r="K128" s="66" t="s">
        <v>47</v>
      </c>
      <c r="L128" s="62" t="s">
        <v>48</v>
      </c>
      <c r="M128" s="20" t="s">
        <v>447</v>
      </c>
      <c r="N128" s="64" t="s">
        <v>448</v>
      </c>
    </row>
    <row r="129" ht="15.75" customHeight="1">
      <c r="A129" s="11" t="s">
        <v>449</v>
      </c>
      <c r="B129" s="14"/>
      <c r="C129" s="14"/>
      <c r="D129" s="14"/>
      <c r="F129" s="14"/>
      <c r="G129" s="11" t="s">
        <v>22</v>
      </c>
      <c r="H129" s="12" t="s">
        <v>23</v>
      </c>
      <c r="I129" s="12" t="s">
        <v>47</v>
      </c>
      <c r="J129" s="14"/>
      <c r="K129" s="15"/>
      <c r="L129" s="45" t="s">
        <v>48</v>
      </c>
      <c r="M129" s="36" t="s">
        <v>450</v>
      </c>
      <c r="N129" s="14"/>
    </row>
    <row r="130" ht="15.75" customHeight="1">
      <c r="A130" s="67" t="s">
        <v>451</v>
      </c>
      <c r="B130" s="12" t="s">
        <v>452</v>
      </c>
      <c r="C130" s="67" t="s">
        <v>356</v>
      </c>
      <c r="D130" s="68" t="s">
        <v>453</v>
      </c>
      <c r="E130" s="65" t="s">
        <v>358</v>
      </c>
      <c r="F130" s="69">
        <v>46146.0</v>
      </c>
      <c r="G130" s="67" t="s">
        <v>22</v>
      </c>
      <c r="H130" s="68" t="s">
        <v>359</v>
      </c>
      <c r="I130" s="68" t="s">
        <v>47</v>
      </c>
      <c r="J130" s="70" t="s">
        <v>25</v>
      </c>
      <c r="K130" s="68" t="s">
        <v>47</v>
      </c>
      <c r="L130" s="70" t="s">
        <v>48</v>
      </c>
      <c r="M130" s="65" t="s">
        <v>454</v>
      </c>
      <c r="N130" s="71" t="s">
        <v>455</v>
      </c>
      <c r="O130" s="72"/>
      <c r="P130" s="72"/>
      <c r="Q130" s="72"/>
      <c r="R130" s="72"/>
      <c r="S130" s="72"/>
      <c r="T130" s="72"/>
      <c r="U130" s="72"/>
      <c r="V130" s="72"/>
      <c r="W130" s="72"/>
      <c r="X130" s="72"/>
      <c r="Y130" s="72"/>
      <c r="Z130" s="72"/>
      <c r="AA130" s="72"/>
      <c r="AB130" s="72"/>
    </row>
    <row r="131" ht="15.75" customHeight="1">
      <c r="A131" s="67" t="s">
        <v>456</v>
      </c>
      <c r="B131" s="14"/>
      <c r="C131" s="14"/>
      <c r="D131" s="14"/>
      <c r="F131" s="14"/>
      <c r="G131" s="67" t="s">
        <v>22</v>
      </c>
      <c r="H131" s="68" t="s">
        <v>23</v>
      </c>
      <c r="I131" s="68" t="s">
        <v>47</v>
      </c>
      <c r="J131" s="14"/>
      <c r="K131" s="14"/>
      <c r="L131" s="70" t="s">
        <v>48</v>
      </c>
      <c r="M131" s="65" t="s">
        <v>457</v>
      </c>
      <c r="N131" s="14"/>
      <c r="O131" s="72"/>
      <c r="P131" s="72"/>
      <c r="Q131" s="72"/>
      <c r="R131" s="72"/>
      <c r="S131" s="72"/>
      <c r="T131" s="72"/>
      <c r="U131" s="72"/>
      <c r="V131" s="72"/>
      <c r="W131" s="72"/>
      <c r="X131" s="72"/>
      <c r="Y131" s="72"/>
      <c r="Z131" s="72"/>
      <c r="AA131" s="72"/>
      <c r="AB131" s="72"/>
    </row>
    <row r="132" ht="15.75" customHeight="1">
      <c r="A132" s="67" t="s">
        <v>458</v>
      </c>
      <c r="B132" s="68" t="s">
        <v>459</v>
      </c>
      <c r="C132" s="67" t="s">
        <v>356</v>
      </c>
      <c r="D132" s="68" t="s">
        <v>460</v>
      </c>
      <c r="E132" s="65" t="s">
        <v>358</v>
      </c>
      <c r="F132" s="69">
        <v>46146.0</v>
      </c>
      <c r="G132" s="67" t="s">
        <v>22</v>
      </c>
      <c r="H132" s="68" t="s">
        <v>359</v>
      </c>
      <c r="I132" s="68" t="s">
        <v>47</v>
      </c>
      <c r="J132" s="70" t="s">
        <v>25</v>
      </c>
      <c r="K132" s="68" t="s">
        <v>47</v>
      </c>
      <c r="L132" s="70" t="s">
        <v>48</v>
      </c>
      <c r="M132" s="65" t="s">
        <v>461</v>
      </c>
      <c r="N132" s="71" t="s">
        <v>462</v>
      </c>
      <c r="O132" s="72"/>
      <c r="P132" s="72"/>
      <c r="Q132" s="72"/>
      <c r="R132" s="72"/>
      <c r="S132" s="72"/>
      <c r="T132" s="72"/>
      <c r="U132" s="72"/>
      <c r="V132" s="72"/>
      <c r="W132" s="72"/>
      <c r="X132" s="72"/>
      <c r="Y132" s="72"/>
      <c r="Z132" s="72"/>
      <c r="AA132" s="72"/>
      <c r="AB132" s="72"/>
    </row>
    <row r="133" ht="15.75" customHeight="1">
      <c r="A133" s="67" t="s">
        <v>463</v>
      </c>
      <c r="B133" s="14"/>
      <c r="C133" s="14"/>
      <c r="D133" s="14"/>
      <c r="F133" s="14"/>
      <c r="G133" s="67" t="s">
        <v>22</v>
      </c>
      <c r="H133" s="68" t="s">
        <v>23</v>
      </c>
      <c r="I133" s="68" t="s">
        <v>47</v>
      </c>
      <c r="J133" s="14"/>
      <c r="K133" s="14"/>
      <c r="L133" s="70" t="s">
        <v>48</v>
      </c>
      <c r="M133" s="65" t="s">
        <v>464</v>
      </c>
      <c r="N133" s="14"/>
      <c r="O133" s="72"/>
      <c r="P133" s="72"/>
      <c r="Q133" s="72"/>
      <c r="R133" s="72"/>
      <c r="S133" s="72"/>
      <c r="T133" s="72"/>
      <c r="U133" s="72"/>
      <c r="V133" s="72"/>
      <c r="W133" s="72"/>
      <c r="X133" s="72"/>
      <c r="Y133" s="72"/>
      <c r="Z133" s="72"/>
      <c r="AA133" s="72"/>
      <c r="AB133" s="72"/>
    </row>
    <row r="134" ht="15.75" customHeight="1">
      <c r="A134" s="67" t="s">
        <v>465</v>
      </c>
      <c r="B134" s="68" t="s">
        <v>466</v>
      </c>
      <c r="C134" s="67" t="s">
        <v>356</v>
      </c>
      <c r="D134" s="68" t="s">
        <v>453</v>
      </c>
      <c r="E134" s="65" t="s">
        <v>358</v>
      </c>
      <c r="F134" s="69">
        <v>46146.0</v>
      </c>
      <c r="G134" s="67" t="s">
        <v>22</v>
      </c>
      <c r="H134" s="68" t="s">
        <v>359</v>
      </c>
      <c r="I134" s="68" t="s">
        <v>47</v>
      </c>
      <c r="J134" s="70" t="s">
        <v>25</v>
      </c>
      <c r="K134" s="68" t="s">
        <v>47</v>
      </c>
      <c r="L134" s="70" t="s">
        <v>316</v>
      </c>
      <c r="M134" s="73" t="s">
        <v>467</v>
      </c>
      <c r="N134" s="71" t="s">
        <v>468</v>
      </c>
      <c r="O134" s="72"/>
      <c r="P134" s="72"/>
      <c r="Q134" s="72"/>
      <c r="R134" s="72"/>
      <c r="S134" s="72"/>
      <c r="T134" s="72"/>
      <c r="U134" s="72"/>
      <c r="V134" s="72"/>
      <c r="W134" s="72"/>
      <c r="X134" s="72"/>
      <c r="Y134" s="72"/>
      <c r="Z134" s="72"/>
      <c r="AA134" s="72"/>
      <c r="AB134" s="72"/>
    </row>
    <row r="135" ht="15.75" customHeight="1">
      <c r="A135" s="67" t="s">
        <v>469</v>
      </c>
      <c r="B135" s="14"/>
      <c r="C135" s="14"/>
      <c r="D135" s="14"/>
      <c r="F135" s="14"/>
      <c r="G135" s="67" t="s">
        <v>22</v>
      </c>
      <c r="H135" s="68" t="s">
        <v>23</v>
      </c>
      <c r="I135" s="68" t="s">
        <v>47</v>
      </c>
      <c r="J135" s="14"/>
      <c r="K135" s="14"/>
      <c r="L135" s="68" t="s">
        <v>316</v>
      </c>
      <c r="M135" s="74" t="s">
        <v>470</v>
      </c>
      <c r="N135" s="14"/>
      <c r="O135" s="72"/>
      <c r="P135" s="72"/>
      <c r="Q135" s="72"/>
      <c r="R135" s="72"/>
      <c r="S135" s="72"/>
      <c r="T135" s="72"/>
      <c r="U135" s="72"/>
      <c r="V135" s="72"/>
      <c r="W135" s="72"/>
      <c r="X135" s="72"/>
      <c r="Y135" s="72"/>
      <c r="Z135" s="72"/>
      <c r="AA135" s="72"/>
      <c r="AB135" s="72"/>
    </row>
    <row r="136" ht="15.75" customHeight="1">
      <c r="A136" s="67" t="s">
        <v>471</v>
      </c>
      <c r="B136" s="68" t="s">
        <v>472</v>
      </c>
      <c r="C136" s="67" t="s">
        <v>356</v>
      </c>
      <c r="D136" s="68" t="s">
        <v>251</v>
      </c>
      <c r="E136" s="65" t="s">
        <v>358</v>
      </c>
      <c r="F136" s="69">
        <v>46146.0</v>
      </c>
      <c r="G136" s="67" t="s">
        <v>22</v>
      </c>
      <c r="H136" s="68" t="s">
        <v>359</v>
      </c>
      <c r="I136" s="68" t="s">
        <v>47</v>
      </c>
      <c r="J136" s="70" t="s">
        <v>25</v>
      </c>
      <c r="K136" s="68" t="s">
        <v>47</v>
      </c>
      <c r="L136" s="68" t="s">
        <v>48</v>
      </c>
      <c r="M136" s="75" t="s">
        <v>473</v>
      </c>
      <c r="N136" s="71" t="s">
        <v>474</v>
      </c>
      <c r="O136" s="72"/>
      <c r="P136" s="72"/>
      <c r="Q136" s="72"/>
      <c r="R136" s="72"/>
      <c r="S136" s="72"/>
      <c r="T136" s="72"/>
      <c r="U136" s="72"/>
      <c r="V136" s="72"/>
      <c r="W136" s="72"/>
      <c r="X136" s="72"/>
      <c r="Y136" s="72"/>
      <c r="Z136" s="72"/>
      <c r="AA136" s="72"/>
      <c r="AB136" s="72"/>
    </row>
    <row r="137" ht="15.75" customHeight="1">
      <c r="A137" s="67" t="s">
        <v>475</v>
      </c>
      <c r="B137" s="14"/>
      <c r="C137" s="14"/>
      <c r="D137" s="14"/>
      <c r="F137" s="14"/>
      <c r="G137" s="67" t="s">
        <v>22</v>
      </c>
      <c r="H137" s="68" t="s">
        <v>23</v>
      </c>
      <c r="I137" s="68" t="s">
        <v>47</v>
      </c>
      <c r="J137" s="14"/>
      <c r="K137" s="14"/>
      <c r="L137" s="68" t="s">
        <v>48</v>
      </c>
      <c r="M137" s="75" t="s">
        <v>476</v>
      </c>
      <c r="N137" s="14"/>
      <c r="O137" s="72"/>
      <c r="P137" s="72"/>
      <c r="Q137" s="72"/>
      <c r="R137" s="72"/>
      <c r="S137" s="72"/>
      <c r="T137" s="72"/>
      <c r="U137" s="72"/>
      <c r="V137" s="72"/>
      <c r="W137" s="72"/>
      <c r="X137" s="72"/>
      <c r="Y137" s="72"/>
      <c r="Z137" s="72"/>
      <c r="AA137" s="72"/>
      <c r="AB137" s="72"/>
    </row>
    <row r="138" ht="15.75" customHeight="1">
      <c r="A138" s="67" t="s">
        <v>477</v>
      </c>
      <c r="B138" s="68" t="s">
        <v>478</v>
      </c>
      <c r="C138" s="67" t="s">
        <v>356</v>
      </c>
      <c r="D138" s="68" t="s">
        <v>479</v>
      </c>
      <c r="E138" s="65" t="s">
        <v>358</v>
      </c>
      <c r="F138" s="69">
        <v>46146.0</v>
      </c>
      <c r="G138" s="67" t="s">
        <v>22</v>
      </c>
      <c r="H138" s="68" t="s">
        <v>359</v>
      </c>
      <c r="I138" s="68" t="s">
        <v>47</v>
      </c>
      <c r="J138" s="70" t="s">
        <v>25</v>
      </c>
      <c r="K138" s="68" t="s">
        <v>47</v>
      </c>
      <c r="L138" s="68" t="s">
        <v>48</v>
      </c>
      <c r="M138" s="75" t="s">
        <v>480</v>
      </c>
      <c r="N138" s="71" t="s">
        <v>481</v>
      </c>
      <c r="O138" s="72"/>
      <c r="P138" s="72"/>
      <c r="Q138" s="72"/>
      <c r="R138" s="72"/>
      <c r="S138" s="72"/>
      <c r="T138" s="72"/>
      <c r="U138" s="72"/>
      <c r="V138" s="72"/>
      <c r="W138" s="72"/>
      <c r="X138" s="72"/>
      <c r="Y138" s="72"/>
      <c r="Z138" s="72"/>
      <c r="AA138" s="72"/>
      <c r="AB138" s="72"/>
    </row>
    <row r="139" ht="15.75" customHeight="1">
      <c r="A139" s="67" t="s">
        <v>482</v>
      </c>
      <c r="B139" s="14"/>
      <c r="C139" s="14"/>
      <c r="D139" s="14"/>
      <c r="F139" s="14"/>
      <c r="G139" s="67" t="s">
        <v>22</v>
      </c>
      <c r="H139" s="68" t="s">
        <v>23</v>
      </c>
      <c r="I139" s="68" t="s">
        <v>47</v>
      </c>
      <c r="J139" s="14"/>
      <c r="K139" s="14"/>
      <c r="L139" s="68" t="s">
        <v>48</v>
      </c>
      <c r="M139" s="75" t="s">
        <v>483</v>
      </c>
      <c r="N139" s="14"/>
      <c r="O139" s="72"/>
      <c r="P139" s="72"/>
      <c r="Q139" s="72"/>
      <c r="R139" s="72"/>
      <c r="S139" s="72"/>
      <c r="T139" s="72"/>
      <c r="U139" s="72"/>
      <c r="V139" s="72"/>
      <c r="W139" s="72"/>
      <c r="X139" s="72"/>
      <c r="Y139" s="72"/>
      <c r="Z139" s="72"/>
      <c r="AA139" s="72"/>
      <c r="AB139" s="72"/>
    </row>
    <row r="140" ht="15.75" customHeight="1">
      <c r="A140" s="67" t="s">
        <v>484</v>
      </c>
      <c r="B140" s="68" t="s">
        <v>485</v>
      </c>
      <c r="C140" s="67" t="s">
        <v>356</v>
      </c>
      <c r="D140" s="68" t="s">
        <v>259</v>
      </c>
      <c r="E140" s="65" t="s">
        <v>358</v>
      </c>
      <c r="F140" s="69">
        <v>46146.0</v>
      </c>
      <c r="G140" s="67" t="s">
        <v>22</v>
      </c>
      <c r="H140" s="68" t="s">
        <v>359</v>
      </c>
      <c r="I140" s="68" t="s">
        <v>47</v>
      </c>
      <c r="J140" s="70" t="s">
        <v>25</v>
      </c>
      <c r="K140" s="68" t="s">
        <v>47</v>
      </c>
      <c r="L140" s="68" t="s">
        <v>48</v>
      </c>
      <c r="M140" s="75" t="s">
        <v>486</v>
      </c>
      <c r="N140" s="71" t="s">
        <v>487</v>
      </c>
      <c r="O140" s="72"/>
      <c r="P140" s="72"/>
      <c r="Q140" s="72"/>
      <c r="R140" s="72"/>
      <c r="S140" s="72"/>
      <c r="T140" s="72"/>
      <c r="U140" s="72"/>
      <c r="V140" s="72"/>
      <c r="W140" s="72"/>
      <c r="X140" s="72"/>
      <c r="Y140" s="72"/>
      <c r="Z140" s="72"/>
      <c r="AA140" s="72"/>
      <c r="AB140" s="72"/>
    </row>
    <row r="141" ht="15.75" customHeight="1">
      <c r="A141" s="67" t="s">
        <v>488</v>
      </c>
      <c r="B141" s="14"/>
      <c r="C141" s="14"/>
      <c r="D141" s="14"/>
      <c r="F141" s="14"/>
      <c r="G141" s="67" t="s">
        <v>22</v>
      </c>
      <c r="H141" s="68" t="s">
        <v>23</v>
      </c>
      <c r="I141" s="68" t="s">
        <v>47</v>
      </c>
      <c r="J141" s="14"/>
      <c r="K141" s="14"/>
      <c r="L141" s="68" t="s">
        <v>48</v>
      </c>
      <c r="M141" s="75" t="s">
        <v>489</v>
      </c>
      <c r="N141" s="14"/>
      <c r="O141" s="72"/>
      <c r="P141" s="72"/>
      <c r="Q141" s="72"/>
      <c r="R141" s="72"/>
      <c r="S141" s="72"/>
      <c r="T141" s="72"/>
      <c r="U141" s="72"/>
      <c r="V141" s="72"/>
      <c r="W141" s="72"/>
      <c r="X141" s="72"/>
      <c r="Y141" s="72"/>
      <c r="Z141" s="72"/>
      <c r="AA141" s="72"/>
      <c r="AB141" s="72"/>
    </row>
    <row r="142" ht="15.75" customHeight="1">
      <c r="A142" s="67" t="s">
        <v>490</v>
      </c>
      <c r="B142" s="68" t="s">
        <v>491</v>
      </c>
      <c r="C142" s="67" t="s">
        <v>356</v>
      </c>
      <c r="D142" s="68" t="s">
        <v>492</v>
      </c>
      <c r="E142" s="65" t="s">
        <v>358</v>
      </c>
      <c r="F142" s="69">
        <v>46146.0</v>
      </c>
      <c r="G142" s="67" t="s">
        <v>22</v>
      </c>
      <c r="H142" s="68" t="s">
        <v>359</v>
      </c>
      <c r="I142" s="68" t="s">
        <v>47</v>
      </c>
      <c r="J142" s="70" t="s">
        <v>25</v>
      </c>
      <c r="K142" s="68" t="s">
        <v>47</v>
      </c>
      <c r="L142" s="68" t="s">
        <v>48</v>
      </c>
      <c r="M142" s="75" t="s">
        <v>493</v>
      </c>
      <c r="N142" s="71" t="s">
        <v>494</v>
      </c>
      <c r="O142" s="72"/>
      <c r="P142" s="72"/>
      <c r="Q142" s="72"/>
      <c r="R142" s="72"/>
      <c r="S142" s="72"/>
      <c r="T142" s="72"/>
      <c r="U142" s="72"/>
      <c r="V142" s="72"/>
      <c r="W142" s="72"/>
      <c r="X142" s="72"/>
      <c r="Y142" s="72"/>
      <c r="Z142" s="72"/>
      <c r="AA142" s="72"/>
      <c r="AB142" s="72"/>
    </row>
    <row r="143" ht="15.75" customHeight="1">
      <c r="A143" s="67" t="s">
        <v>495</v>
      </c>
      <c r="B143" s="14"/>
      <c r="C143" s="14"/>
      <c r="D143" s="14"/>
      <c r="F143" s="14"/>
      <c r="G143" s="67" t="s">
        <v>22</v>
      </c>
      <c r="H143" s="68" t="s">
        <v>23</v>
      </c>
      <c r="I143" s="68" t="s">
        <v>47</v>
      </c>
      <c r="J143" s="14"/>
      <c r="K143" s="14"/>
      <c r="L143" s="68" t="s">
        <v>48</v>
      </c>
      <c r="M143" s="75" t="s">
        <v>496</v>
      </c>
      <c r="N143" s="14"/>
      <c r="O143" s="72"/>
      <c r="P143" s="72"/>
      <c r="Q143" s="72"/>
      <c r="R143" s="72"/>
      <c r="S143" s="72"/>
      <c r="T143" s="72"/>
      <c r="U143" s="72"/>
      <c r="V143" s="72"/>
      <c r="W143" s="72"/>
      <c r="X143" s="72"/>
      <c r="Y143" s="72"/>
      <c r="Z143" s="72"/>
      <c r="AA143" s="72"/>
      <c r="AB143" s="72"/>
    </row>
    <row r="144">
      <c r="A144" s="76" t="s">
        <v>497</v>
      </c>
      <c r="B144" s="76" t="s">
        <v>1</v>
      </c>
      <c r="C144" s="76" t="s">
        <v>2</v>
      </c>
      <c r="D144" s="76" t="s">
        <v>3</v>
      </c>
      <c r="E144" s="76" t="s">
        <v>4</v>
      </c>
      <c r="F144" s="76" t="s">
        <v>5</v>
      </c>
      <c r="G144" s="76" t="s">
        <v>6</v>
      </c>
      <c r="H144" s="76" t="s">
        <v>7</v>
      </c>
      <c r="I144" s="76" t="s">
        <v>8</v>
      </c>
      <c r="J144" s="77" t="s">
        <v>9</v>
      </c>
      <c r="K144" s="77" t="s">
        <v>10</v>
      </c>
      <c r="L144" s="76" t="s">
        <v>11</v>
      </c>
      <c r="M144" s="76" t="s">
        <v>12</v>
      </c>
      <c r="N144" s="76" t="s">
        <v>13</v>
      </c>
    </row>
    <row r="145">
      <c r="A145" s="11" t="s">
        <v>498</v>
      </c>
      <c r="B145" s="11" t="s">
        <v>499</v>
      </c>
      <c r="C145" s="11" t="s">
        <v>500</v>
      </c>
      <c r="D145" s="11" t="s">
        <v>501</v>
      </c>
      <c r="E145" s="11" t="s">
        <v>502</v>
      </c>
      <c r="F145" s="11" t="s">
        <v>503</v>
      </c>
      <c r="G145" s="11" t="s">
        <v>22</v>
      </c>
      <c r="H145" s="11" t="s">
        <v>504</v>
      </c>
      <c r="I145" s="11" t="s">
        <v>47</v>
      </c>
      <c r="J145" s="12" t="s">
        <v>25</v>
      </c>
      <c r="K145" s="12" t="s">
        <v>47</v>
      </c>
      <c r="L145" s="11" t="s">
        <v>48</v>
      </c>
      <c r="M145" s="11" t="s">
        <v>505</v>
      </c>
      <c r="N145" s="78" t="s">
        <v>506</v>
      </c>
    </row>
    <row r="146" ht="54.0" customHeight="1">
      <c r="A146" s="11" t="s">
        <v>507</v>
      </c>
      <c r="B146" s="14"/>
      <c r="C146" s="14"/>
      <c r="D146" s="14"/>
      <c r="E146" s="14"/>
      <c r="F146" s="14"/>
      <c r="G146" s="11" t="s">
        <v>22</v>
      </c>
      <c r="H146" s="12" t="s">
        <v>204</v>
      </c>
      <c r="I146" s="12" t="s">
        <v>47</v>
      </c>
      <c r="J146" s="14"/>
      <c r="K146" s="14"/>
      <c r="L146" s="45" t="s">
        <v>316</v>
      </c>
      <c r="M146" s="12" t="s">
        <v>508</v>
      </c>
      <c r="N146" s="15"/>
    </row>
    <row r="147" ht="30.75" customHeight="1">
      <c r="A147" s="11" t="s">
        <v>509</v>
      </c>
      <c r="B147" s="11" t="s">
        <v>510</v>
      </c>
      <c r="C147" s="11" t="s">
        <v>500</v>
      </c>
      <c r="D147" s="11" t="s">
        <v>511</v>
      </c>
      <c r="E147" s="11" t="s">
        <v>512</v>
      </c>
      <c r="F147" s="11" t="s">
        <v>503</v>
      </c>
      <c r="G147" s="11" t="s">
        <v>22</v>
      </c>
      <c r="H147" s="11" t="s">
        <v>504</v>
      </c>
      <c r="I147" s="11" t="s">
        <v>47</v>
      </c>
      <c r="J147" s="12" t="s">
        <v>25</v>
      </c>
      <c r="K147" s="12" t="s">
        <v>47</v>
      </c>
      <c r="L147" s="11" t="s">
        <v>48</v>
      </c>
      <c r="M147" s="11" t="s">
        <v>513</v>
      </c>
      <c r="N147" s="79" t="s">
        <v>514</v>
      </c>
    </row>
    <row r="148" ht="29.25" customHeight="1">
      <c r="A148" s="11" t="s">
        <v>515</v>
      </c>
      <c r="B148" s="14"/>
      <c r="C148" s="14"/>
      <c r="D148" s="14"/>
      <c r="E148" s="14"/>
      <c r="F148" s="14"/>
      <c r="G148" s="11" t="s">
        <v>22</v>
      </c>
      <c r="H148" s="12" t="s">
        <v>204</v>
      </c>
      <c r="I148" s="11" t="s">
        <v>47</v>
      </c>
      <c r="J148" s="14"/>
      <c r="K148" s="14"/>
      <c r="L148" s="12" t="s">
        <v>48</v>
      </c>
      <c r="M148" s="12" t="s">
        <v>516</v>
      </c>
      <c r="N148" s="15"/>
    </row>
    <row r="149" ht="20.25" customHeight="1">
      <c r="A149" s="11" t="s">
        <v>517</v>
      </c>
      <c r="B149" s="11" t="s">
        <v>518</v>
      </c>
      <c r="C149" s="11" t="s">
        <v>500</v>
      </c>
      <c r="D149" s="11" t="s">
        <v>19</v>
      </c>
      <c r="E149" s="11" t="s">
        <v>519</v>
      </c>
      <c r="F149" s="11" t="s">
        <v>21</v>
      </c>
      <c r="G149" s="11" t="s">
        <v>22</v>
      </c>
      <c r="H149" s="11" t="s">
        <v>504</v>
      </c>
      <c r="I149" s="11" t="s">
        <v>47</v>
      </c>
      <c r="J149" s="12" t="s">
        <v>25</v>
      </c>
      <c r="K149" s="12" t="s">
        <v>47</v>
      </c>
      <c r="L149" s="11" t="s">
        <v>48</v>
      </c>
      <c r="M149" s="11" t="s">
        <v>520</v>
      </c>
      <c r="N149" s="79" t="s">
        <v>521</v>
      </c>
    </row>
    <row r="150" ht="21.75" customHeight="1">
      <c r="A150" s="11" t="s">
        <v>522</v>
      </c>
      <c r="B150" s="14"/>
      <c r="C150" s="14"/>
      <c r="D150" s="14"/>
      <c r="E150" s="14"/>
      <c r="F150" s="14"/>
      <c r="G150" s="11" t="s">
        <v>22</v>
      </c>
      <c r="H150" s="12" t="s">
        <v>204</v>
      </c>
      <c r="I150" s="12" t="s">
        <v>47</v>
      </c>
      <c r="J150" s="14"/>
      <c r="K150" s="14"/>
      <c r="L150" s="12" t="s">
        <v>48</v>
      </c>
      <c r="M150" s="12" t="s">
        <v>523</v>
      </c>
      <c r="N150" s="15"/>
    </row>
    <row r="151">
      <c r="A151" s="11" t="s">
        <v>524</v>
      </c>
      <c r="B151" s="11" t="s">
        <v>525</v>
      </c>
      <c r="C151" s="11" t="s">
        <v>500</v>
      </c>
      <c r="D151" s="11" t="s">
        <v>19</v>
      </c>
      <c r="E151" s="11" t="s">
        <v>526</v>
      </c>
      <c r="F151" s="11" t="s">
        <v>21</v>
      </c>
      <c r="G151" s="11" t="s">
        <v>22</v>
      </c>
      <c r="H151" s="11" t="s">
        <v>504</v>
      </c>
      <c r="I151" s="11" t="s">
        <v>47</v>
      </c>
      <c r="J151" s="12" t="s">
        <v>25</v>
      </c>
      <c r="K151" s="12" t="s">
        <v>47</v>
      </c>
      <c r="L151" s="11" t="s">
        <v>48</v>
      </c>
      <c r="M151" s="11" t="s">
        <v>527</v>
      </c>
      <c r="N151" s="79" t="s">
        <v>528</v>
      </c>
    </row>
    <row r="152" ht="24.75" customHeight="1">
      <c r="A152" s="11" t="s">
        <v>529</v>
      </c>
      <c r="B152" s="14"/>
      <c r="C152" s="14"/>
      <c r="D152" s="14"/>
      <c r="E152" s="14"/>
      <c r="F152" s="14"/>
      <c r="G152" s="11" t="s">
        <v>22</v>
      </c>
      <c r="H152" s="12" t="s">
        <v>204</v>
      </c>
      <c r="I152" s="12" t="s">
        <v>47</v>
      </c>
      <c r="J152" s="14"/>
      <c r="K152" s="14"/>
      <c r="L152" s="12" t="s">
        <v>48</v>
      </c>
      <c r="M152" s="12" t="s">
        <v>530</v>
      </c>
      <c r="N152" s="15"/>
    </row>
    <row r="153">
      <c r="A153" s="11" t="s">
        <v>531</v>
      </c>
      <c r="B153" s="11" t="s">
        <v>532</v>
      </c>
      <c r="C153" s="11" t="s">
        <v>500</v>
      </c>
      <c r="D153" s="11" t="s">
        <v>19</v>
      </c>
      <c r="E153" s="11" t="s">
        <v>533</v>
      </c>
      <c r="F153" s="11" t="s">
        <v>21</v>
      </c>
      <c r="G153" s="11" t="s">
        <v>22</v>
      </c>
      <c r="H153" s="11" t="s">
        <v>504</v>
      </c>
      <c r="I153" s="11" t="s">
        <v>24</v>
      </c>
      <c r="J153" s="12" t="s">
        <v>25</v>
      </c>
      <c r="K153" s="12" t="s">
        <v>24</v>
      </c>
      <c r="L153" s="11" t="s">
        <v>534</v>
      </c>
      <c r="M153" s="11" t="s">
        <v>535</v>
      </c>
      <c r="N153" s="79" t="s">
        <v>536</v>
      </c>
    </row>
    <row r="154">
      <c r="A154" s="11" t="s">
        <v>537</v>
      </c>
      <c r="B154" s="14"/>
      <c r="C154" s="14"/>
      <c r="D154" s="14"/>
      <c r="E154" s="14"/>
      <c r="F154" s="14"/>
      <c r="G154" s="11" t="s">
        <v>22</v>
      </c>
      <c r="H154" s="12" t="s">
        <v>204</v>
      </c>
      <c r="I154" s="12" t="s">
        <v>24</v>
      </c>
      <c r="J154" s="14"/>
      <c r="K154" s="14"/>
      <c r="L154" s="11" t="s">
        <v>534</v>
      </c>
      <c r="M154" s="12" t="s">
        <v>538</v>
      </c>
      <c r="N154" s="15"/>
      <c r="O154" s="80"/>
      <c r="P154" s="80"/>
      <c r="Q154" s="80"/>
      <c r="R154" s="80"/>
    </row>
    <row r="155">
      <c r="A155" s="11" t="s">
        <v>539</v>
      </c>
      <c r="B155" s="12" t="s">
        <v>540</v>
      </c>
      <c r="C155" s="11" t="s">
        <v>500</v>
      </c>
      <c r="D155" s="12" t="s">
        <v>541</v>
      </c>
      <c r="E155" s="12" t="s">
        <v>542</v>
      </c>
      <c r="F155" s="12" t="s">
        <v>543</v>
      </c>
      <c r="G155" s="11" t="s">
        <v>22</v>
      </c>
      <c r="H155" s="12" t="s">
        <v>504</v>
      </c>
      <c r="I155" s="80" t="s">
        <v>47</v>
      </c>
      <c r="J155" s="12" t="s">
        <v>25</v>
      </c>
      <c r="K155" s="12" t="s">
        <v>47</v>
      </c>
      <c r="L155" s="81" t="s">
        <v>48</v>
      </c>
      <c r="M155" s="80" t="s">
        <v>544</v>
      </c>
      <c r="N155" s="78" t="s">
        <v>545</v>
      </c>
      <c r="O155" s="80"/>
      <c r="P155" s="80"/>
      <c r="Q155" s="81"/>
      <c r="R155" s="80"/>
    </row>
    <row r="156" ht="25.5" customHeight="1">
      <c r="A156" s="11" t="s">
        <v>546</v>
      </c>
      <c r="B156" s="14"/>
      <c r="C156" s="14"/>
      <c r="D156" s="14"/>
      <c r="E156" s="14"/>
      <c r="F156" s="14"/>
      <c r="G156" s="11" t="s">
        <v>22</v>
      </c>
      <c r="H156" s="12" t="s">
        <v>204</v>
      </c>
      <c r="I156" s="12" t="s">
        <v>47</v>
      </c>
      <c r="J156" s="14"/>
      <c r="K156" s="14"/>
      <c r="L156" s="12" t="s">
        <v>48</v>
      </c>
      <c r="M156" s="12" t="s">
        <v>547</v>
      </c>
      <c r="N156" s="15"/>
      <c r="O156" s="80"/>
      <c r="P156" s="80"/>
      <c r="Q156" s="81"/>
      <c r="R156" s="80"/>
    </row>
    <row r="157">
      <c r="A157" s="11" t="s">
        <v>548</v>
      </c>
      <c r="B157" s="12" t="s">
        <v>549</v>
      </c>
      <c r="C157" s="11" t="s">
        <v>500</v>
      </c>
      <c r="D157" s="12" t="s">
        <v>550</v>
      </c>
      <c r="E157" s="12" t="s">
        <v>551</v>
      </c>
      <c r="F157" s="12" t="s">
        <v>543</v>
      </c>
      <c r="G157" s="11" t="s">
        <v>22</v>
      </c>
      <c r="H157" s="12" t="s">
        <v>504</v>
      </c>
      <c r="I157" s="82" t="s">
        <v>47</v>
      </c>
      <c r="J157" s="45" t="s">
        <v>151</v>
      </c>
      <c r="K157" s="45" t="s">
        <v>24</v>
      </c>
      <c r="L157" s="83" t="s">
        <v>48</v>
      </c>
      <c r="M157" s="80" t="s">
        <v>552</v>
      </c>
      <c r="N157" s="78" t="s">
        <v>553</v>
      </c>
      <c r="O157" s="80"/>
      <c r="P157" s="80"/>
      <c r="Q157" s="81"/>
      <c r="R157" s="80"/>
    </row>
    <row r="158" ht="48.0" customHeight="1">
      <c r="A158" s="11" t="s">
        <v>554</v>
      </c>
      <c r="B158" s="14"/>
      <c r="C158" s="14"/>
      <c r="D158" s="14"/>
      <c r="E158" s="14"/>
      <c r="F158" s="14"/>
      <c r="G158" s="11" t="s">
        <v>22</v>
      </c>
      <c r="H158" s="12" t="s">
        <v>204</v>
      </c>
      <c r="I158" s="45" t="s">
        <v>24</v>
      </c>
      <c r="J158" s="14"/>
      <c r="K158" s="14"/>
      <c r="L158" s="45" t="s">
        <v>104</v>
      </c>
      <c r="M158" s="12" t="s">
        <v>555</v>
      </c>
      <c r="N158" s="15"/>
      <c r="O158" s="80"/>
      <c r="P158" s="80"/>
      <c r="Q158" s="81"/>
      <c r="R158" s="80"/>
    </row>
    <row r="159">
      <c r="A159" s="11" t="s">
        <v>556</v>
      </c>
      <c r="B159" s="12" t="s">
        <v>557</v>
      </c>
      <c r="C159" s="11" t="s">
        <v>500</v>
      </c>
      <c r="D159" s="12" t="s">
        <v>19</v>
      </c>
      <c r="E159" s="12" t="s">
        <v>558</v>
      </c>
      <c r="F159" s="12" t="s">
        <v>543</v>
      </c>
      <c r="G159" s="11" t="s">
        <v>22</v>
      </c>
      <c r="H159" s="12" t="s">
        <v>504</v>
      </c>
      <c r="I159" s="82" t="s">
        <v>24</v>
      </c>
      <c r="J159" s="45" t="s">
        <v>151</v>
      </c>
      <c r="K159" s="45" t="s">
        <v>47</v>
      </c>
      <c r="L159" s="45" t="s">
        <v>26</v>
      </c>
      <c r="M159" s="80" t="s">
        <v>559</v>
      </c>
      <c r="N159" s="78" t="s">
        <v>560</v>
      </c>
      <c r="O159" s="80"/>
      <c r="P159" s="80"/>
      <c r="Q159" s="81"/>
      <c r="R159" s="80"/>
    </row>
    <row r="160" ht="36.75" customHeight="1">
      <c r="A160" s="11" t="s">
        <v>561</v>
      </c>
      <c r="B160" s="14"/>
      <c r="C160" s="14"/>
      <c r="D160" s="14"/>
      <c r="E160" s="14"/>
      <c r="F160" s="14"/>
      <c r="G160" s="11" t="s">
        <v>22</v>
      </c>
      <c r="H160" s="12" t="s">
        <v>204</v>
      </c>
      <c r="I160" s="45" t="s">
        <v>47</v>
      </c>
      <c r="J160" s="14"/>
      <c r="K160" s="14"/>
      <c r="L160" s="45" t="s">
        <v>48</v>
      </c>
      <c r="M160" s="12" t="s">
        <v>562</v>
      </c>
      <c r="N160" s="15"/>
      <c r="O160" s="80"/>
      <c r="P160" s="80"/>
      <c r="Q160" s="81"/>
      <c r="R160" s="80"/>
    </row>
    <row r="161" ht="25.5" customHeight="1">
      <c r="A161" s="11" t="s">
        <v>563</v>
      </c>
      <c r="B161" s="12" t="s">
        <v>564</v>
      </c>
      <c r="C161" s="11" t="s">
        <v>500</v>
      </c>
      <c r="D161" s="12" t="s">
        <v>128</v>
      </c>
      <c r="E161" s="12" t="s">
        <v>565</v>
      </c>
      <c r="F161" s="12" t="s">
        <v>543</v>
      </c>
      <c r="G161" s="11" t="s">
        <v>22</v>
      </c>
      <c r="H161" s="12" t="s">
        <v>504</v>
      </c>
      <c r="I161" s="80" t="s">
        <v>47</v>
      </c>
      <c r="J161" s="12" t="s">
        <v>25</v>
      </c>
      <c r="K161" s="12" t="s">
        <v>47</v>
      </c>
      <c r="L161" s="81" t="s">
        <v>48</v>
      </c>
      <c r="M161" s="12" t="s">
        <v>566</v>
      </c>
      <c r="N161" s="78" t="s">
        <v>567</v>
      </c>
      <c r="O161" s="80"/>
      <c r="P161" s="80"/>
      <c r="Q161" s="81"/>
      <c r="R161" s="80"/>
    </row>
    <row r="162" ht="21.0" customHeight="1">
      <c r="A162" s="11" t="s">
        <v>568</v>
      </c>
      <c r="B162" s="14"/>
      <c r="C162" s="14"/>
      <c r="D162" s="14"/>
      <c r="E162" s="14"/>
      <c r="F162" s="14"/>
      <c r="G162" s="11" t="s">
        <v>22</v>
      </c>
      <c r="H162" s="12" t="s">
        <v>204</v>
      </c>
      <c r="I162" s="12" t="s">
        <v>47</v>
      </c>
      <c r="J162" s="14"/>
      <c r="K162" s="14"/>
      <c r="L162" s="12" t="s">
        <v>48</v>
      </c>
      <c r="M162" s="12" t="s">
        <v>569</v>
      </c>
      <c r="N162" s="15"/>
      <c r="O162" s="80"/>
      <c r="P162" s="80"/>
      <c r="Q162" s="81"/>
      <c r="R162" s="80"/>
    </row>
    <row r="163" ht="18.0" customHeight="1">
      <c r="A163" s="11" t="s">
        <v>570</v>
      </c>
      <c r="B163" s="12" t="s">
        <v>571</v>
      </c>
      <c r="C163" s="11" t="s">
        <v>500</v>
      </c>
      <c r="D163" s="12" t="s">
        <v>572</v>
      </c>
      <c r="E163" s="12" t="s">
        <v>573</v>
      </c>
      <c r="F163" s="12" t="s">
        <v>574</v>
      </c>
      <c r="G163" s="11" t="s">
        <v>22</v>
      </c>
      <c r="H163" s="12" t="s">
        <v>504</v>
      </c>
      <c r="I163" s="12" t="s">
        <v>47</v>
      </c>
      <c r="J163" s="12" t="s">
        <v>25</v>
      </c>
      <c r="K163" s="12" t="s">
        <v>47</v>
      </c>
      <c r="L163" s="12" t="s">
        <v>48</v>
      </c>
      <c r="M163" s="12" t="s">
        <v>575</v>
      </c>
      <c r="N163" s="78" t="s">
        <v>576</v>
      </c>
      <c r="O163" s="80"/>
      <c r="P163" s="80"/>
      <c r="Q163" s="81"/>
      <c r="R163" s="80"/>
    </row>
    <row r="164" ht="21.0" customHeight="1">
      <c r="A164" s="11" t="s">
        <v>577</v>
      </c>
      <c r="B164" s="14"/>
      <c r="C164" s="14"/>
      <c r="D164" s="14"/>
      <c r="E164" s="14"/>
      <c r="F164" s="14"/>
      <c r="G164" s="11" t="s">
        <v>22</v>
      </c>
      <c r="H164" s="12" t="s">
        <v>204</v>
      </c>
      <c r="I164" s="12" t="s">
        <v>47</v>
      </c>
      <c r="J164" s="14"/>
      <c r="K164" s="14"/>
      <c r="L164" s="12" t="s">
        <v>48</v>
      </c>
      <c r="M164" s="12" t="s">
        <v>578</v>
      </c>
      <c r="N164" s="15"/>
      <c r="O164" s="80"/>
      <c r="P164" s="80"/>
      <c r="Q164" s="81"/>
      <c r="R164" s="80"/>
    </row>
    <row r="165" ht="24.0" customHeight="1">
      <c r="A165" s="11" t="s">
        <v>579</v>
      </c>
      <c r="B165" s="12" t="s">
        <v>580</v>
      </c>
      <c r="C165" s="11" t="s">
        <v>500</v>
      </c>
      <c r="D165" s="12" t="s">
        <v>128</v>
      </c>
      <c r="E165" s="12" t="s">
        <v>581</v>
      </c>
      <c r="F165" s="12" t="s">
        <v>574</v>
      </c>
      <c r="G165" s="11" t="s">
        <v>22</v>
      </c>
      <c r="H165" s="12" t="s">
        <v>504</v>
      </c>
      <c r="I165" s="80" t="s">
        <v>24</v>
      </c>
      <c r="J165" s="12" t="s">
        <v>25</v>
      </c>
      <c r="K165" s="12" t="s">
        <v>24</v>
      </c>
      <c r="L165" s="12" t="s">
        <v>26</v>
      </c>
      <c r="M165" s="12" t="s">
        <v>582</v>
      </c>
      <c r="N165" s="78" t="s">
        <v>583</v>
      </c>
      <c r="Q165" s="84"/>
    </row>
    <row r="166" ht="22.5" customHeight="1">
      <c r="A166" s="11" t="s">
        <v>584</v>
      </c>
      <c r="B166" s="14"/>
      <c r="C166" s="14"/>
      <c r="D166" s="14"/>
      <c r="E166" s="14"/>
      <c r="F166" s="14"/>
      <c r="G166" s="11" t="s">
        <v>22</v>
      </c>
      <c r="H166" s="12" t="s">
        <v>204</v>
      </c>
      <c r="I166" s="12" t="s">
        <v>24</v>
      </c>
      <c r="J166" s="14"/>
      <c r="K166" s="14"/>
      <c r="L166" s="12" t="s">
        <v>26</v>
      </c>
      <c r="M166" s="12" t="s">
        <v>585</v>
      </c>
      <c r="N166" s="15"/>
    </row>
    <row r="167" ht="24.0" customHeight="1">
      <c r="A167" s="11" t="s">
        <v>586</v>
      </c>
      <c r="B167" s="12" t="s">
        <v>587</v>
      </c>
      <c r="C167" s="11" t="s">
        <v>500</v>
      </c>
      <c r="D167" s="12" t="s">
        <v>588</v>
      </c>
      <c r="E167" s="12" t="s">
        <v>589</v>
      </c>
      <c r="F167" s="12" t="s">
        <v>574</v>
      </c>
      <c r="G167" s="11" t="s">
        <v>22</v>
      </c>
      <c r="H167" s="12" t="s">
        <v>504</v>
      </c>
      <c r="I167" s="80" t="s">
        <v>24</v>
      </c>
      <c r="J167" s="12" t="s">
        <v>151</v>
      </c>
      <c r="K167" s="12" t="s">
        <v>24</v>
      </c>
      <c r="L167" s="12" t="s">
        <v>26</v>
      </c>
      <c r="M167" s="12" t="s">
        <v>590</v>
      </c>
      <c r="N167" s="78" t="s">
        <v>591</v>
      </c>
    </row>
    <row r="168" ht="38.25" customHeight="1">
      <c r="A168" s="11" t="s">
        <v>592</v>
      </c>
      <c r="B168" s="14"/>
      <c r="C168" s="14"/>
      <c r="D168" s="14"/>
      <c r="E168" s="14"/>
      <c r="F168" s="14"/>
      <c r="G168" s="11" t="s">
        <v>22</v>
      </c>
      <c r="H168" s="12" t="s">
        <v>204</v>
      </c>
      <c r="I168" s="12" t="s">
        <v>47</v>
      </c>
      <c r="J168" s="14"/>
      <c r="K168" s="14"/>
      <c r="L168" s="45" t="s">
        <v>593</v>
      </c>
      <c r="M168" s="12" t="s">
        <v>594</v>
      </c>
      <c r="N168" s="15"/>
    </row>
    <row r="169">
      <c r="A169" s="11" t="s">
        <v>595</v>
      </c>
      <c r="B169" s="12" t="s">
        <v>596</v>
      </c>
      <c r="C169" s="11" t="s">
        <v>500</v>
      </c>
      <c r="D169" s="12" t="s">
        <v>19</v>
      </c>
      <c r="E169" s="12" t="s">
        <v>597</v>
      </c>
      <c r="F169" s="61">
        <v>46057.0</v>
      </c>
      <c r="G169" s="11" t="s">
        <v>22</v>
      </c>
      <c r="H169" s="12" t="s">
        <v>504</v>
      </c>
      <c r="I169" s="80" t="s">
        <v>24</v>
      </c>
      <c r="J169" s="12" t="s">
        <v>25</v>
      </c>
      <c r="K169" s="12" t="s">
        <v>24</v>
      </c>
      <c r="L169" s="12" t="s">
        <v>26</v>
      </c>
      <c r="M169" s="12" t="s">
        <v>598</v>
      </c>
      <c r="N169" s="78" t="s">
        <v>599</v>
      </c>
    </row>
    <row r="170">
      <c r="A170" s="11" t="s">
        <v>600</v>
      </c>
      <c r="B170" s="14"/>
      <c r="C170" s="14"/>
      <c r="D170" s="14"/>
      <c r="E170" s="14"/>
      <c r="F170" s="14"/>
      <c r="G170" s="11" t="s">
        <v>22</v>
      </c>
      <c r="H170" s="12" t="s">
        <v>204</v>
      </c>
      <c r="I170" s="12" t="s">
        <v>24</v>
      </c>
      <c r="J170" s="14"/>
      <c r="K170" s="14"/>
      <c r="L170" s="12" t="s">
        <v>104</v>
      </c>
      <c r="M170" s="12" t="s">
        <v>601</v>
      </c>
      <c r="N170" s="15"/>
    </row>
    <row r="171">
      <c r="A171" s="11" t="s">
        <v>602</v>
      </c>
      <c r="B171" s="12" t="s">
        <v>603</v>
      </c>
      <c r="C171" s="11" t="s">
        <v>500</v>
      </c>
      <c r="D171" s="12" t="s">
        <v>19</v>
      </c>
      <c r="E171" s="12" t="s">
        <v>604</v>
      </c>
      <c r="F171" s="61">
        <v>46057.0</v>
      </c>
      <c r="G171" s="11" t="s">
        <v>22</v>
      </c>
      <c r="H171" s="12" t="s">
        <v>504</v>
      </c>
      <c r="I171" s="80" t="s">
        <v>24</v>
      </c>
      <c r="J171" s="12" t="s">
        <v>25</v>
      </c>
      <c r="K171" s="12" t="s">
        <v>24</v>
      </c>
      <c r="L171" s="12" t="s">
        <v>26</v>
      </c>
      <c r="M171" s="12" t="s">
        <v>605</v>
      </c>
      <c r="N171" s="78" t="s">
        <v>606</v>
      </c>
    </row>
    <row r="172">
      <c r="A172" s="11" t="s">
        <v>607</v>
      </c>
      <c r="B172" s="14"/>
      <c r="C172" s="14"/>
      <c r="D172" s="14"/>
      <c r="E172" s="14"/>
      <c r="F172" s="14"/>
      <c r="G172" s="11" t="s">
        <v>22</v>
      </c>
      <c r="H172" s="12" t="s">
        <v>204</v>
      </c>
      <c r="I172" s="12" t="s">
        <v>24</v>
      </c>
      <c r="J172" s="14"/>
      <c r="K172" s="14"/>
      <c r="L172" s="12" t="s">
        <v>104</v>
      </c>
      <c r="M172" s="12" t="s">
        <v>608</v>
      </c>
      <c r="N172" s="15"/>
    </row>
    <row r="173">
      <c r="A173" s="11" t="s">
        <v>609</v>
      </c>
      <c r="B173" s="12" t="s">
        <v>610</v>
      </c>
      <c r="C173" s="11" t="s">
        <v>500</v>
      </c>
      <c r="D173" s="12" t="s">
        <v>128</v>
      </c>
      <c r="E173" s="12" t="s">
        <v>611</v>
      </c>
      <c r="F173" s="61">
        <v>46057.0</v>
      </c>
      <c r="G173" s="11" t="s">
        <v>22</v>
      </c>
      <c r="H173" s="12" t="s">
        <v>504</v>
      </c>
      <c r="I173" s="80" t="s">
        <v>24</v>
      </c>
      <c r="J173" s="12" t="s">
        <v>25</v>
      </c>
      <c r="K173" s="12" t="s">
        <v>24</v>
      </c>
      <c r="L173" s="12" t="s">
        <v>26</v>
      </c>
      <c r="M173" s="12" t="s">
        <v>612</v>
      </c>
      <c r="N173" s="78" t="s">
        <v>613</v>
      </c>
    </row>
    <row r="174">
      <c r="A174" s="11" t="s">
        <v>614</v>
      </c>
      <c r="B174" s="14"/>
      <c r="C174" s="14"/>
      <c r="D174" s="14"/>
      <c r="E174" s="14"/>
      <c r="F174" s="14"/>
      <c r="G174" s="11" t="s">
        <v>22</v>
      </c>
      <c r="H174" s="12" t="s">
        <v>204</v>
      </c>
      <c r="I174" s="12" t="s">
        <v>24</v>
      </c>
      <c r="J174" s="14"/>
      <c r="K174" s="14"/>
      <c r="L174" s="12" t="s">
        <v>104</v>
      </c>
      <c r="M174" s="12" t="s">
        <v>615</v>
      </c>
      <c r="N174" s="15"/>
      <c r="O174" s="80"/>
      <c r="P174" s="80"/>
      <c r="Q174" s="80"/>
      <c r="R174" s="80"/>
    </row>
    <row r="175" ht="15.75" customHeight="1">
      <c r="A175" s="11" t="s">
        <v>616</v>
      </c>
      <c r="B175" s="12" t="s">
        <v>617</v>
      </c>
      <c r="C175" s="11" t="s">
        <v>500</v>
      </c>
      <c r="D175" s="12" t="s">
        <v>128</v>
      </c>
      <c r="E175" s="12" t="s">
        <v>618</v>
      </c>
      <c r="F175" s="61">
        <v>46057.0</v>
      </c>
      <c r="G175" s="11" t="s">
        <v>22</v>
      </c>
      <c r="H175" s="12" t="s">
        <v>504</v>
      </c>
      <c r="I175" s="80" t="s">
        <v>47</v>
      </c>
      <c r="J175" s="12" t="s">
        <v>25</v>
      </c>
      <c r="K175" s="12" t="s">
        <v>47</v>
      </c>
      <c r="L175" s="81" t="s">
        <v>48</v>
      </c>
      <c r="M175" s="80" t="s">
        <v>619</v>
      </c>
      <c r="N175" s="78" t="s">
        <v>620</v>
      </c>
      <c r="O175" s="80"/>
      <c r="P175" s="80"/>
      <c r="Q175" s="81"/>
      <c r="R175" s="80"/>
    </row>
    <row r="176" ht="15.75" customHeight="1">
      <c r="A176" s="11" t="s">
        <v>621</v>
      </c>
      <c r="B176" s="14"/>
      <c r="C176" s="14"/>
      <c r="D176" s="14"/>
      <c r="E176" s="14"/>
      <c r="F176" s="14"/>
      <c r="G176" s="11" t="s">
        <v>22</v>
      </c>
      <c r="H176" s="12" t="s">
        <v>204</v>
      </c>
      <c r="I176" s="12" t="s">
        <v>47</v>
      </c>
      <c r="J176" s="14"/>
      <c r="K176" s="14"/>
      <c r="L176" s="12" t="s">
        <v>48</v>
      </c>
      <c r="M176" s="12" t="s">
        <v>622</v>
      </c>
      <c r="N176" s="15"/>
      <c r="O176" s="80"/>
      <c r="P176" s="80"/>
      <c r="Q176" s="81"/>
      <c r="R176" s="80"/>
    </row>
    <row r="177" ht="15.75" customHeight="1">
      <c r="A177" s="11" t="s">
        <v>623</v>
      </c>
      <c r="B177" s="12" t="s">
        <v>624</v>
      </c>
      <c r="C177" s="11" t="s">
        <v>500</v>
      </c>
      <c r="D177" s="12" t="s">
        <v>128</v>
      </c>
      <c r="E177" s="12" t="s">
        <v>625</v>
      </c>
      <c r="F177" s="61">
        <v>46057.0</v>
      </c>
      <c r="G177" s="11" t="s">
        <v>22</v>
      </c>
      <c r="H177" s="12" t="s">
        <v>504</v>
      </c>
      <c r="I177" s="80" t="s">
        <v>47</v>
      </c>
      <c r="J177" s="12" t="s">
        <v>25</v>
      </c>
      <c r="K177" s="12" t="s">
        <v>47</v>
      </c>
      <c r="L177" s="81" t="s">
        <v>48</v>
      </c>
      <c r="M177" s="80" t="s">
        <v>626</v>
      </c>
      <c r="N177" s="78" t="s">
        <v>627</v>
      </c>
      <c r="O177" s="80"/>
      <c r="P177" s="80"/>
      <c r="Q177" s="81"/>
      <c r="R177" s="80"/>
    </row>
    <row r="178" ht="15.75" customHeight="1">
      <c r="A178" s="11" t="s">
        <v>628</v>
      </c>
      <c r="B178" s="14"/>
      <c r="C178" s="14"/>
      <c r="D178" s="14"/>
      <c r="E178" s="14"/>
      <c r="F178" s="14"/>
      <c r="G178" s="11" t="s">
        <v>22</v>
      </c>
      <c r="H178" s="12" t="s">
        <v>204</v>
      </c>
      <c r="I178" s="12" t="s">
        <v>47</v>
      </c>
      <c r="J178" s="14"/>
      <c r="K178" s="14"/>
      <c r="L178" s="12" t="s">
        <v>48</v>
      </c>
      <c r="M178" s="12" t="s">
        <v>629</v>
      </c>
      <c r="N178" s="15"/>
      <c r="O178" s="80"/>
      <c r="P178" s="80"/>
      <c r="Q178" s="81"/>
      <c r="R178" s="80"/>
    </row>
    <row r="179" ht="15.75" customHeight="1">
      <c r="A179" s="11" t="s">
        <v>630</v>
      </c>
      <c r="B179" s="12" t="s">
        <v>631</v>
      </c>
      <c r="C179" s="11" t="s">
        <v>500</v>
      </c>
      <c r="D179" s="12" t="s">
        <v>128</v>
      </c>
      <c r="E179" s="12" t="s">
        <v>632</v>
      </c>
      <c r="F179" s="61">
        <v>46057.0</v>
      </c>
      <c r="G179" s="11" t="s">
        <v>22</v>
      </c>
      <c r="H179" s="12" t="s">
        <v>504</v>
      </c>
      <c r="I179" s="80" t="s">
        <v>24</v>
      </c>
      <c r="J179" s="12" t="s">
        <v>25</v>
      </c>
      <c r="K179" s="12" t="s">
        <v>24</v>
      </c>
      <c r="L179" s="81" t="s">
        <v>97</v>
      </c>
      <c r="M179" s="80" t="s">
        <v>633</v>
      </c>
      <c r="N179" s="78" t="s">
        <v>634</v>
      </c>
    </row>
    <row r="180" ht="15.75" customHeight="1">
      <c r="A180" s="11" t="s">
        <v>635</v>
      </c>
      <c r="B180" s="14"/>
      <c r="C180" s="14"/>
      <c r="D180" s="14"/>
      <c r="E180" s="14"/>
      <c r="F180" s="14"/>
      <c r="G180" s="11" t="s">
        <v>22</v>
      </c>
      <c r="H180" s="12" t="s">
        <v>204</v>
      </c>
      <c r="I180" s="12" t="s">
        <v>24</v>
      </c>
      <c r="J180" s="14"/>
      <c r="K180" s="14"/>
      <c r="L180" s="12" t="s">
        <v>104</v>
      </c>
      <c r="M180" s="12" t="s">
        <v>636</v>
      </c>
      <c r="N180" s="15"/>
    </row>
    <row r="181" ht="15.75" customHeight="1">
      <c r="A181" s="11" t="s">
        <v>637</v>
      </c>
      <c r="B181" s="12" t="s">
        <v>638</v>
      </c>
      <c r="C181" s="11" t="s">
        <v>500</v>
      </c>
      <c r="D181" s="12" t="s">
        <v>19</v>
      </c>
      <c r="E181" s="12" t="s">
        <v>639</v>
      </c>
      <c r="F181" s="61">
        <v>46057.0</v>
      </c>
      <c r="G181" s="11" t="s">
        <v>22</v>
      </c>
      <c r="H181" s="12" t="s">
        <v>504</v>
      </c>
      <c r="I181" s="80" t="s">
        <v>47</v>
      </c>
      <c r="J181" s="12" t="s">
        <v>151</v>
      </c>
      <c r="K181" s="45" t="s">
        <v>24</v>
      </c>
      <c r="L181" s="83" t="s">
        <v>48</v>
      </c>
      <c r="M181" s="80" t="s">
        <v>640</v>
      </c>
      <c r="N181" s="78" t="s">
        <v>641</v>
      </c>
    </row>
    <row r="182" ht="28.5" customHeight="1">
      <c r="A182" s="11" t="s">
        <v>642</v>
      </c>
      <c r="B182" s="14"/>
      <c r="C182" s="14"/>
      <c r="D182" s="14"/>
      <c r="E182" s="14"/>
      <c r="F182" s="14"/>
      <c r="G182" s="11" t="s">
        <v>22</v>
      </c>
      <c r="H182" s="12" t="s">
        <v>204</v>
      </c>
      <c r="I182" s="12" t="s">
        <v>24</v>
      </c>
      <c r="J182" s="14"/>
      <c r="K182" s="14"/>
      <c r="L182" s="45" t="s">
        <v>104</v>
      </c>
      <c r="M182" s="12" t="s">
        <v>643</v>
      </c>
      <c r="N182" s="15"/>
    </row>
    <row r="183" ht="15.75" customHeight="1">
      <c r="A183" s="11" t="s">
        <v>644</v>
      </c>
      <c r="B183" s="12" t="s">
        <v>645</v>
      </c>
      <c r="C183" s="11" t="s">
        <v>500</v>
      </c>
      <c r="D183" s="12" t="s">
        <v>19</v>
      </c>
      <c r="E183" s="12" t="s">
        <v>646</v>
      </c>
      <c r="F183" s="61">
        <v>46116.0</v>
      </c>
      <c r="G183" s="11" t="s">
        <v>22</v>
      </c>
      <c r="H183" s="12" t="s">
        <v>504</v>
      </c>
      <c r="I183" s="20" t="s">
        <v>47</v>
      </c>
      <c r="J183" s="12" t="s">
        <v>25</v>
      </c>
      <c r="K183" s="45" t="s">
        <v>47</v>
      </c>
      <c r="L183" s="45" t="s">
        <v>48</v>
      </c>
      <c r="M183" s="20" t="s">
        <v>647</v>
      </c>
      <c r="N183" s="78" t="s">
        <v>648</v>
      </c>
    </row>
    <row r="184" ht="27.0" customHeight="1">
      <c r="A184" s="11" t="s">
        <v>649</v>
      </c>
      <c r="B184" s="14"/>
      <c r="C184" s="14"/>
      <c r="D184" s="14"/>
      <c r="E184" s="14"/>
      <c r="F184" s="14"/>
      <c r="G184" s="11" t="s">
        <v>22</v>
      </c>
      <c r="H184" s="12" t="s">
        <v>204</v>
      </c>
      <c r="I184" s="12" t="s">
        <v>47</v>
      </c>
      <c r="J184" s="14"/>
      <c r="K184" s="14"/>
      <c r="L184" s="45" t="s">
        <v>316</v>
      </c>
      <c r="M184" s="12" t="s">
        <v>650</v>
      </c>
      <c r="N184" s="15"/>
    </row>
    <row r="185" ht="15.75" customHeight="1">
      <c r="A185" s="11" t="s">
        <v>651</v>
      </c>
      <c r="B185" s="12" t="s">
        <v>652</v>
      </c>
      <c r="C185" s="11" t="s">
        <v>500</v>
      </c>
      <c r="D185" s="12" t="s">
        <v>653</v>
      </c>
      <c r="E185" s="12" t="s">
        <v>646</v>
      </c>
      <c r="F185" s="61">
        <v>46116.0</v>
      </c>
      <c r="G185" s="11" t="s">
        <v>22</v>
      </c>
      <c r="H185" s="12" t="s">
        <v>504</v>
      </c>
      <c r="I185" s="20" t="s">
        <v>47</v>
      </c>
      <c r="J185" s="12" t="s">
        <v>25</v>
      </c>
      <c r="K185" s="45" t="s">
        <v>47</v>
      </c>
      <c r="L185" s="45" t="s">
        <v>48</v>
      </c>
      <c r="M185" s="20" t="s">
        <v>654</v>
      </c>
      <c r="N185" s="78" t="s">
        <v>655</v>
      </c>
    </row>
    <row r="186" ht="15.75" customHeight="1">
      <c r="A186" s="11" t="s">
        <v>656</v>
      </c>
      <c r="B186" s="14"/>
      <c r="C186" s="14"/>
      <c r="D186" s="14"/>
      <c r="E186" s="14"/>
      <c r="F186" s="14"/>
      <c r="G186" s="11" t="s">
        <v>22</v>
      </c>
      <c r="H186" s="12" t="s">
        <v>204</v>
      </c>
      <c r="I186" s="12" t="s">
        <v>47</v>
      </c>
      <c r="J186" s="14"/>
      <c r="K186" s="14"/>
      <c r="L186" s="45" t="s">
        <v>48</v>
      </c>
      <c r="M186" s="12" t="s">
        <v>657</v>
      </c>
      <c r="N186" s="15"/>
    </row>
    <row r="187" ht="15.75" customHeight="1">
      <c r="A187" s="11" t="s">
        <v>658</v>
      </c>
      <c r="B187" s="12" t="s">
        <v>659</v>
      </c>
      <c r="C187" s="11" t="s">
        <v>500</v>
      </c>
      <c r="D187" s="12" t="s">
        <v>357</v>
      </c>
      <c r="E187" s="12" t="s">
        <v>646</v>
      </c>
      <c r="F187" s="61">
        <v>46116.0</v>
      </c>
      <c r="G187" s="11" t="s">
        <v>22</v>
      </c>
      <c r="H187" s="12" t="s">
        <v>504</v>
      </c>
      <c r="I187" s="20" t="s">
        <v>24</v>
      </c>
      <c r="J187" s="12" t="s">
        <v>151</v>
      </c>
      <c r="K187" s="45" t="s">
        <v>47</v>
      </c>
      <c r="L187" s="50" t="s">
        <v>97</v>
      </c>
      <c r="M187" s="20" t="s">
        <v>660</v>
      </c>
      <c r="N187" s="78" t="s">
        <v>661</v>
      </c>
    </row>
    <row r="188" ht="15.75" customHeight="1">
      <c r="A188" s="11" t="s">
        <v>662</v>
      </c>
      <c r="B188" s="14"/>
      <c r="C188" s="14"/>
      <c r="D188" s="14"/>
      <c r="E188" s="14"/>
      <c r="F188" s="14"/>
      <c r="G188" s="11" t="s">
        <v>22</v>
      </c>
      <c r="H188" s="12" t="s">
        <v>204</v>
      </c>
      <c r="I188" s="12" t="s">
        <v>47</v>
      </c>
      <c r="J188" s="14"/>
      <c r="K188" s="14"/>
      <c r="L188" s="45" t="s">
        <v>316</v>
      </c>
      <c r="M188" s="12" t="s">
        <v>663</v>
      </c>
      <c r="N188" s="15"/>
    </row>
    <row r="189" ht="15.75" customHeight="1">
      <c r="A189" s="47" t="s">
        <v>664</v>
      </c>
      <c r="B189" s="45" t="s">
        <v>665</v>
      </c>
      <c r="C189" s="47" t="s">
        <v>500</v>
      </c>
      <c r="D189" s="45" t="s">
        <v>666</v>
      </c>
      <c r="E189" s="45" t="s">
        <v>646</v>
      </c>
      <c r="F189" s="60">
        <v>46146.0</v>
      </c>
      <c r="G189" s="47" t="s">
        <v>22</v>
      </c>
      <c r="H189" s="45" t="s">
        <v>504</v>
      </c>
      <c r="I189" s="50" t="s">
        <v>47</v>
      </c>
      <c r="J189" s="45" t="s">
        <v>25</v>
      </c>
      <c r="K189" s="45" t="s">
        <v>47</v>
      </c>
      <c r="L189" s="50" t="s">
        <v>48</v>
      </c>
      <c r="M189" s="50" t="s">
        <v>667</v>
      </c>
      <c r="N189" s="85" t="s">
        <v>668</v>
      </c>
      <c r="O189" s="51"/>
      <c r="P189" s="51"/>
      <c r="Q189" s="51"/>
      <c r="R189" s="51"/>
      <c r="S189" s="51"/>
      <c r="T189" s="51"/>
      <c r="U189" s="51"/>
      <c r="V189" s="51"/>
      <c r="W189" s="51"/>
      <c r="X189" s="51"/>
      <c r="Y189" s="51"/>
      <c r="Z189" s="51"/>
      <c r="AA189" s="51"/>
      <c r="AB189" s="51"/>
    </row>
    <row r="190" ht="15.75" customHeight="1">
      <c r="A190" s="47" t="s">
        <v>669</v>
      </c>
      <c r="B190" s="14"/>
      <c r="C190" s="14"/>
      <c r="D190" s="14"/>
      <c r="E190" s="14"/>
      <c r="F190" s="14"/>
      <c r="G190" s="47" t="s">
        <v>22</v>
      </c>
      <c r="H190" s="45" t="s">
        <v>204</v>
      </c>
      <c r="I190" s="45" t="s">
        <v>47</v>
      </c>
      <c r="J190" s="14"/>
      <c r="K190" s="14"/>
      <c r="L190" s="45" t="s">
        <v>48</v>
      </c>
      <c r="M190" s="45" t="s">
        <v>670</v>
      </c>
      <c r="N190" s="15"/>
      <c r="O190" s="51"/>
      <c r="P190" s="51"/>
      <c r="Q190" s="51"/>
      <c r="R190" s="51"/>
      <c r="S190" s="51"/>
      <c r="T190" s="51"/>
      <c r="U190" s="51"/>
      <c r="V190" s="51"/>
      <c r="W190" s="51"/>
      <c r="X190" s="51"/>
      <c r="Y190" s="51"/>
      <c r="Z190" s="51"/>
      <c r="AA190" s="51"/>
      <c r="AB190" s="51"/>
    </row>
    <row r="191" ht="15.75" customHeight="1">
      <c r="A191" s="47" t="s">
        <v>671</v>
      </c>
      <c r="B191" s="45" t="s">
        <v>672</v>
      </c>
      <c r="C191" s="47" t="s">
        <v>500</v>
      </c>
      <c r="D191" s="45" t="s">
        <v>357</v>
      </c>
      <c r="E191" s="45" t="s">
        <v>673</v>
      </c>
      <c r="F191" s="60">
        <v>46207.0</v>
      </c>
      <c r="G191" s="47" t="s">
        <v>22</v>
      </c>
      <c r="H191" s="45" t="s">
        <v>504</v>
      </c>
      <c r="I191" s="45" t="s">
        <v>24</v>
      </c>
      <c r="J191" s="45" t="s">
        <v>151</v>
      </c>
      <c r="K191" s="45" t="s">
        <v>24</v>
      </c>
      <c r="L191" s="45" t="s">
        <v>104</v>
      </c>
      <c r="M191" s="45" t="s">
        <v>674</v>
      </c>
      <c r="N191" s="85" t="s">
        <v>675</v>
      </c>
      <c r="O191" s="51"/>
      <c r="P191" s="51"/>
      <c r="Q191" s="51"/>
      <c r="R191" s="51"/>
      <c r="S191" s="51"/>
      <c r="T191" s="51"/>
      <c r="U191" s="51"/>
      <c r="V191" s="51"/>
      <c r="W191" s="51"/>
      <c r="X191" s="51"/>
      <c r="Y191" s="51"/>
      <c r="Z191" s="51"/>
      <c r="AA191" s="51"/>
      <c r="AB191" s="51"/>
    </row>
    <row r="192" ht="27.0" customHeight="1">
      <c r="A192" s="47" t="s">
        <v>676</v>
      </c>
      <c r="B192" s="14"/>
      <c r="C192" s="14"/>
      <c r="D192" s="14"/>
      <c r="E192" s="14"/>
      <c r="F192" s="14"/>
      <c r="G192" s="47" t="s">
        <v>22</v>
      </c>
      <c r="H192" s="45" t="s">
        <v>204</v>
      </c>
      <c r="I192" s="45" t="s">
        <v>47</v>
      </c>
      <c r="J192" s="14"/>
      <c r="K192" s="14"/>
      <c r="L192" s="45" t="s">
        <v>677</v>
      </c>
      <c r="M192" s="45" t="s">
        <v>678</v>
      </c>
      <c r="N192" s="15"/>
      <c r="O192" s="51"/>
      <c r="P192" s="51"/>
      <c r="Q192" s="51"/>
      <c r="R192" s="51"/>
      <c r="S192" s="51"/>
      <c r="T192" s="51"/>
      <c r="U192" s="51"/>
      <c r="V192" s="51"/>
      <c r="W192" s="51"/>
      <c r="X192" s="51"/>
      <c r="Y192" s="51"/>
      <c r="Z192" s="51"/>
      <c r="AA192" s="51"/>
      <c r="AB192" s="51"/>
    </row>
    <row r="193" ht="15.75" customHeight="1">
      <c r="A193" s="47" t="s">
        <v>679</v>
      </c>
      <c r="B193" s="45" t="s">
        <v>680</v>
      </c>
      <c r="C193" s="47" t="s">
        <v>500</v>
      </c>
      <c r="D193" s="45" t="s">
        <v>251</v>
      </c>
      <c r="E193" s="45" t="s">
        <v>681</v>
      </c>
      <c r="F193" s="60">
        <v>46207.0</v>
      </c>
      <c r="G193" s="47" t="s">
        <v>22</v>
      </c>
      <c r="H193" s="45" t="s">
        <v>504</v>
      </c>
      <c r="I193" s="45" t="s">
        <v>47</v>
      </c>
      <c r="J193" s="45" t="s">
        <v>25</v>
      </c>
      <c r="K193" s="45" t="s">
        <v>47</v>
      </c>
      <c r="L193" s="45" t="s">
        <v>48</v>
      </c>
      <c r="M193" s="45" t="s">
        <v>682</v>
      </c>
      <c r="N193" s="85" t="s">
        <v>683</v>
      </c>
      <c r="O193" s="51"/>
      <c r="P193" s="51"/>
      <c r="Q193" s="51"/>
      <c r="R193" s="51"/>
      <c r="S193" s="51"/>
      <c r="T193" s="51"/>
      <c r="U193" s="51"/>
      <c r="V193" s="51"/>
      <c r="W193" s="51"/>
      <c r="X193" s="51"/>
      <c r="Y193" s="51"/>
      <c r="Z193" s="51"/>
      <c r="AA193" s="51"/>
      <c r="AB193" s="51"/>
    </row>
    <row r="194" ht="15.75" customHeight="1">
      <c r="A194" s="47" t="s">
        <v>684</v>
      </c>
      <c r="B194" s="14"/>
      <c r="C194" s="14"/>
      <c r="D194" s="14"/>
      <c r="E194" s="14"/>
      <c r="F194" s="14"/>
      <c r="G194" s="47" t="s">
        <v>22</v>
      </c>
      <c r="H194" s="45" t="s">
        <v>204</v>
      </c>
      <c r="I194" s="45" t="s">
        <v>47</v>
      </c>
      <c r="J194" s="14"/>
      <c r="K194" s="14"/>
      <c r="L194" s="45" t="s">
        <v>48</v>
      </c>
      <c r="M194" s="45" t="s">
        <v>685</v>
      </c>
      <c r="N194" s="15"/>
      <c r="O194" s="51"/>
      <c r="P194" s="51"/>
      <c r="Q194" s="51"/>
      <c r="R194" s="51"/>
      <c r="S194" s="51"/>
      <c r="T194" s="51"/>
      <c r="U194" s="51"/>
      <c r="V194" s="51"/>
      <c r="W194" s="51"/>
      <c r="X194" s="51"/>
      <c r="Y194" s="51"/>
      <c r="Z194" s="51"/>
      <c r="AA194" s="51"/>
      <c r="AB194" s="51"/>
    </row>
    <row r="195" ht="15.75" customHeight="1">
      <c r="A195" s="47" t="s">
        <v>686</v>
      </c>
      <c r="B195" s="45" t="s">
        <v>687</v>
      </c>
      <c r="C195" s="47" t="s">
        <v>500</v>
      </c>
      <c r="D195" s="45" t="s">
        <v>688</v>
      </c>
      <c r="E195" s="45" t="s">
        <v>689</v>
      </c>
      <c r="F195" s="60">
        <v>46207.0</v>
      </c>
      <c r="G195" s="47" t="s">
        <v>22</v>
      </c>
      <c r="H195" s="45" t="s">
        <v>504</v>
      </c>
      <c r="I195" s="45" t="s">
        <v>24</v>
      </c>
      <c r="J195" s="45" t="s">
        <v>25</v>
      </c>
      <c r="K195" s="45" t="s">
        <v>24</v>
      </c>
      <c r="L195" s="45" t="s">
        <v>26</v>
      </c>
      <c r="M195" s="45" t="s">
        <v>690</v>
      </c>
      <c r="N195" s="85" t="s">
        <v>691</v>
      </c>
      <c r="O195" s="51"/>
      <c r="P195" s="51"/>
      <c r="Q195" s="51"/>
      <c r="R195" s="51"/>
      <c r="S195" s="51"/>
      <c r="T195" s="51"/>
      <c r="U195" s="51"/>
      <c r="V195" s="51"/>
      <c r="W195" s="51"/>
      <c r="X195" s="51"/>
      <c r="Y195" s="51"/>
      <c r="Z195" s="51"/>
      <c r="AA195" s="51"/>
      <c r="AB195" s="51"/>
    </row>
    <row r="196" ht="15.75" customHeight="1">
      <c r="A196" s="47" t="s">
        <v>692</v>
      </c>
      <c r="B196" s="14"/>
      <c r="C196" s="14"/>
      <c r="D196" s="14"/>
      <c r="E196" s="14"/>
      <c r="F196" s="14"/>
      <c r="G196" s="47" t="s">
        <v>22</v>
      </c>
      <c r="H196" s="45" t="s">
        <v>204</v>
      </c>
      <c r="I196" s="45" t="s">
        <v>24</v>
      </c>
      <c r="J196" s="14"/>
      <c r="K196" s="14"/>
      <c r="L196" s="50" t="s">
        <v>97</v>
      </c>
      <c r="M196" s="45" t="s">
        <v>693</v>
      </c>
      <c r="N196" s="15"/>
      <c r="O196" s="51"/>
      <c r="P196" s="51"/>
      <c r="Q196" s="51"/>
      <c r="R196" s="51"/>
      <c r="S196" s="51"/>
      <c r="T196" s="51"/>
      <c r="U196" s="51"/>
      <c r="V196" s="51"/>
      <c r="W196" s="51"/>
      <c r="X196" s="51"/>
      <c r="Y196" s="51"/>
      <c r="Z196" s="51"/>
      <c r="AA196" s="51"/>
      <c r="AB196" s="51"/>
    </row>
    <row r="197" ht="15.75" customHeight="1">
      <c r="A197" s="47" t="s">
        <v>694</v>
      </c>
      <c r="B197" s="45" t="s">
        <v>695</v>
      </c>
      <c r="C197" s="47" t="s">
        <v>500</v>
      </c>
      <c r="D197" s="45" t="s">
        <v>251</v>
      </c>
      <c r="E197" s="45" t="s">
        <v>696</v>
      </c>
      <c r="F197" s="60">
        <v>46207.0</v>
      </c>
      <c r="G197" s="47" t="s">
        <v>22</v>
      </c>
      <c r="H197" s="45" t="s">
        <v>504</v>
      </c>
      <c r="I197" s="45" t="s">
        <v>24</v>
      </c>
      <c r="J197" s="45" t="s">
        <v>25</v>
      </c>
      <c r="K197" s="45" t="s">
        <v>24</v>
      </c>
      <c r="L197" s="45" t="s">
        <v>104</v>
      </c>
      <c r="M197" s="45" t="s">
        <v>697</v>
      </c>
      <c r="N197" s="85" t="s">
        <v>698</v>
      </c>
      <c r="O197" s="51"/>
      <c r="P197" s="51"/>
      <c r="Q197" s="51"/>
      <c r="R197" s="51"/>
      <c r="S197" s="51"/>
      <c r="T197" s="51"/>
      <c r="U197" s="51"/>
      <c r="V197" s="51"/>
      <c r="W197" s="51"/>
      <c r="X197" s="51"/>
      <c r="Y197" s="51"/>
      <c r="Z197" s="51"/>
      <c r="AA197" s="51"/>
      <c r="AB197" s="51"/>
    </row>
    <row r="198" ht="15.75" customHeight="1">
      <c r="A198" s="47" t="s">
        <v>699</v>
      </c>
      <c r="B198" s="14"/>
      <c r="C198" s="14"/>
      <c r="D198" s="14"/>
      <c r="E198" s="14"/>
      <c r="F198" s="14"/>
      <c r="G198" s="47" t="s">
        <v>22</v>
      </c>
      <c r="H198" s="45" t="s">
        <v>204</v>
      </c>
      <c r="I198" s="45" t="s">
        <v>24</v>
      </c>
      <c r="J198" s="14"/>
      <c r="K198" s="14"/>
      <c r="L198" s="45" t="s">
        <v>104</v>
      </c>
      <c r="M198" s="45" t="s">
        <v>700</v>
      </c>
      <c r="N198" s="15"/>
      <c r="O198" s="51"/>
      <c r="P198" s="51"/>
      <c r="Q198" s="51"/>
      <c r="R198" s="51"/>
      <c r="S198" s="51"/>
      <c r="T198" s="51"/>
      <c r="U198" s="51"/>
      <c r="V198" s="51"/>
      <c r="W198" s="51"/>
      <c r="X198" s="51"/>
      <c r="Y198" s="51"/>
      <c r="Z198" s="51"/>
      <c r="AA198" s="51"/>
      <c r="AB198" s="51"/>
    </row>
    <row r="199" ht="15.75" customHeight="1">
      <c r="A199" s="47" t="s">
        <v>701</v>
      </c>
      <c r="B199" s="45" t="s">
        <v>702</v>
      </c>
      <c r="C199" s="47" t="s">
        <v>500</v>
      </c>
      <c r="D199" s="45" t="s">
        <v>703</v>
      </c>
      <c r="E199" s="45" t="s">
        <v>704</v>
      </c>
      <c r="F199" s="60">
        <v>46207.0</v>
      </c>
      <c r="G199" s="47" t="s">
        <v>22</v>
      </c>
      <c r="H199" s="45" t="s">
        <v>504</v>
      </c>
      <c r="I199" s="45" t="s">
        <v>47</v>
      </c>
      <c r="J199" s="45" t="s">
        <v>25</v>
      </c>
      <c r="K199" s="45" t="s">
        <v>47</v>
      </c>
      <c r="L199" s="45" t="s">
        <v>48</v>
      </c>
      <c r="M199" s="45" t="s">
        <v>705</v>
      </c>
      <c r="N199" s="85" t="s">
        <v>706</v>
      </c>
      <c r="O199" s="51"/>
      <c r="P199" s="51"/>
      <c r="Q199" s="51"/>
      <c r="R199" s="51"/>
      <c r="S199" s="51"/>
      <c r="T199" s="51"/>
      <c r="U199" s="51"/>
      <c r="V199" s="51"/>
      <c r="W199" s="51"/>
      <c r="X199" s="51"/>
      <c r="Y199" s="51"/>
      <c r="Z199" s="51"/>
      <c r="AA199" s="51"/>
      <c r="AB199" s="51"/>
    </row>
    <row r="200" ht="15.75" customHeight="1">
      <c r="A200" s="47" t="s">
        <v>707</v>
      </c>
      <c r="B200" s="14"/>
      <c r="C200" s="14"/>
      <c r="D200" s="14"/>
      <c r="E200" s="14"/>
      <c r="F200" s="14"/>
      <c r="G200" s="47" t="s">
        <v>22</v>
      </c>
      <c r="H200" s="45" t="s">
        <v>204</v>
      </c>
      <c r="I200" s="45" t="s">
        <v>47</v>
      </c>
      <c r="J200" s="14"/>
      <c r="K200" s="14"/>
      <c r="L200" s="45" t="s">
        <v>48</v>
      </c>
      <c r="M200" s="45" t="s">
        <v>708</v>
      </c>
      <c r="N200" s="15"/>
      <c r="O200" s="51"/>
      <c r="P200" s="51"/>
      <c r="Q200" s="51"/>
      <c r="R200" s="51"/>
      <c r="S200" s="51"/>
      <c r="T200" s="51"/>
      <c r="U200" s="51"/>
      <c r="V200" s="51"/>
      <c r="W200" s="51"/>
      <c r="X200" s="51"/>
      <c r="Y200" s="51"/>
      <c r="Z200" s="51"/>
      <c r="AA200" s="51"/>
      <c r="AB200" s="51"/>
    </row>
    <row r="201" ht="15.75" customHeight="1">
      <c r="A201" s="86" t="s">
        <v>709</v>
      </c>
      <c r="B201" s="87" t="s">
        <v>1</v>
      </c>
      <c r="C201" s="87" t="s">
        <v>2</v>
      </c>
      <c r="D201" s="87" t="s">
        <v>3</v>
      </c>
      <c r="E201" s="87" t="s">
        <v>4</v>
      </c>
      <c r="F201" s="87" t="s">
        <v>5</v>
      </c>
      <c r="G201" s="87" t="s">
        <v>6</v>
      </c>
      <c r="H201" s="87" t="s">
        <v>7</v>
      </c>
      <c r="I201" s="87" t="s">
        <v>8</v>
      </c>
      <c r="J201" s="86" t="s">
        <v>9</v>
      </c>
      <c r="K201" s="86" t="s">
        <v>10</v>
      </c>
      <c r="L201" s="87" t="s">
        <v>11</v>
      </c>
      <c r="M201" s="87" t="s">
        <v>12</v>
      </c>
      <c r="N201" s="87" t="s">
        <v>13</v>
      </c>
    </row>
    <row r="202" ht="15.75" customHeight="1">
      <c r="A202" s="11" t="s">
        <v>710</v>
      </c>
      <c r="B202" s="12" t="s">
        <v>711</v>
      </c>
      <c r="C202" s="11" t="s">
        <v>709</v>
      </c>
      <c r="D202" s="11" t="s">
        <v>19</v>
      </c>
      <c r="E202" s="11" t="s">
        <v>712</v>
      </c>
      <c r="F202" s="11" t="s">
        <v>203</v>
      </c>
      <c r="G202" s="11" t="s">
        <v>22</v>
      </c>
      <c r="H202" s="11" t="s">
        <v>208</v>
      </c>
      <c r="I202" s="11" t="s">
        <v>24</v>
      </c>
      <c r="J202" s="12" t="s">
        <v>25</v>
      </c>
      <c r="K202" s="12" t="s">
        <v>24</v>
      </c>
      <c r="L202" s="11" t="s">
        <v>26</v>
      </c>
      <c r="M202" s="36" t="s">
        <v>713</v>
      </c>
      <c r="N202" s="19" t="s">
        <v>714</v>
      </c>
    </row>
    <row r="203" ht="15.75" customHeight="1">
      <c r="A203" s="14"/>
      <c r="B203" s="14"/>
      <c r="C203" s="14"/>
      <c r="D203" s="14"/>
      <c r="E203" s="14"/>
      <c r="F203" s="14"/>
      <c r="G203" s="11" t="s">
        <v>22</v>
      </c>
      <c r="H203" s="12" t="s">
        <v>504</v>
      </c>
      <c r="I203" s="12" t="s">
        <v>715</v>
      </c>
      <c r="J203" s="14"/>
      <c r="K203" s="14"/>
      <c r="L203" s="88" t="s">
        <v>716</v>
      </c>
      <c r="M203" s="36" t="s">
        <v>717</v>
      </c>
      <c r="N203" s="14"/>
    </row>
    <row r="204" ht="15.75" customHeight="1">
      <c r="A204" s="12" t="s">
        <v>718</v>
      </c>
      <c r="B204" s="11" t="s">
        <v>719</v>
      </c>
      <c r="C204" s="89" t="s">
        <v>709</v>
      </c>
      <c r="D204" s="11" t="s">
        <v>720</v>
      </c>
      <c r="E204" s="11" t="s">
        <v>721</v>
      </c>
      <c r="F204" s="11" t="s">
        <v>203</v>
      </c>
      <c r="G204" s="11" t="s">
        <v>22</v>
      </c>
      <c r="H204" s="11" t="s">
        <v>208</v>
      </c>
      <c r="I204" s="11" t="s">
        <v>47</v>
      </c>
      <c r="J204" s="12" t="s">
        <v>25</v>
      </c>
      <c r="K204" s="12" t="s">
        <v>47</v>
      </c>
      <c r="L204" s="11" t="s">
        <v>48</v>
      </c>
      <c r="M204" s="36" t="s">
        <v>722</v>
      </c>
      <c r="N204" s="19" t="s">
        <v>723</v>
      </c>
    </row>
    <row r="205" ht="15.75" customHeight="1">
      <c r="A205" s="14"/>
      <c r="B205" s="14"/>
      <c r="C205" s="14"/>
      <c r="D205" s="14"/>
      <c r="E205" s="14"/>
      <c r="F205" s="14"/>
      <c r="G205" s="11" t="s">
        <v>22</v>
      </c>
      <c r="H205" s="12" t="s">
        <v>504</v>
      </c>
      <c r="I205" s="11" t="s">
        <v>47</v>
      </c>
      <c r="J205" s="14"/>
      <c r="K205" s="14"/>
      <c r="L205" s="12" t="s">
        <v>48</v>
      </c>
      <c r="M205" s="36" t="s">
        <v>724</v>
      </c>
      <c r="N205" s="14"/>
    </row>
    <row r="206" ht="15.75" customHeight="1">
      <c r="A206" s="12" t="s">
        <v>725</v>
      </c>
      <c r="B206" s="12" t="s">
        <v>726</v>
      </c>
      <c r="C206" s="89" t="s">
        <v>709</v>
      </c>
      <c r="D206" s="11" t="s">
        <v>19</v>
      </c>
      <c r="E206" s="11" t="s">
        <v>727</v>
      </c>
      <c r="F206" s="11" t="s">
        <v>203</v>
      </c>
      <c r="G206" s="11" t="s">
        <v>22</v>
      </c>
      <c r="H206" s="11" t="s">
        <v>208</v>
      </c>
      <c r="I206" s="11" t="s">
        <v>24</v>
      </c>
      <c r="J206" s="12" t="s">
        <v>25</v>
      </c>
      <c r="K206" s="12" t="s">
        <v>24</v>
      </c>
      <c r="L206" s="11" t="s">
        <v>97</v>
      </c>
      <c r="M206" s="11" t="s">
        <v>728</v>
      </c>
      <c r="N206" s="19" t="s">
        <v>729</v>
      </c>
    </row>
    <row r="207" ht="15.75" customHeight="1">
      <c r="A207" s="14"/>
      <c r="B207" s="14"/>
      <c r="C207" s="14"/>
      <c r="D207" s="14"/>
      <c r="E207" s="14"/>
      <c r="F207" s="14"/>
      <c r="G207" s="11" t="s">
        <v>22</v>
      </c>
      <c r="H207" s="12" t="s">
        <v>504</v>
      </c>
      <c r="I207" s="12" t="s">
        <v>24</v>
      </c>
      <c r="J207" s="14"/>
      <c r="K207" s="14"/>
      <c r="L207" s="90" t="s">
        <v>26</v>
      </c>
      <c r="M207" s="12" t="s">
        <v>730</v>
      </c>
      <c r="N207" s="14"/>
    </row>
    <row r="208" ht="15.75" customHeight="1">
      <c r="A208" s="12" t="s">
        <v>731</v>
      </c>
      <c r="B208" s="11" t="s">
        <v>732</v>
      </c>
      <c r="C208" s="89" t="s">
        <v>709</v>
      </c>
      <c r="D208" s="11" t="s">
        <v>453</v>
      </c>
      <c r="E208" s="11" t="s">
        <v>733</v>
      </c>
      <c r="F208" s="11" t="s">
        <v>203</v>
      </c>
      <c r="G208" s="11" t="s">
        <v>22</v>
      </c>
      <c r="H208" s="11" t="s">
        <v>208</v>
      </c>
      <c r="I208" s="11" t="s">
        <v>47</v>
      </c>
      <c r="J208" s="12" t="s">
        <v>25</v>
      </c>
      <c r="K208" s="12" t="s">
        <v>47</v>
      </c>
      <c r="L208" s="11" t="s">
        <v>48</v>
      </c>
      <c r="M208" s="11" t="s">
        <v>734</v>
      </c>
      <c r="N208" s="19" t="s">
        <v>735</v>
      </c>
    </row>
    <row r="209" ht="15.75" customHeight="1">
      <c r="A209" s="14"/>
      <c r="B209" s="14"/>
      <c r="C209" s="14"/>
      <c r="D209" s="14"/>
      <c r="E209" s="14"/>
      <c r="F209" s="14"/>
      <c r="G209" s="11" t="s">
        <v>22</v>
      </c>
      <c r="H209" s="12" t="s">
        <v>504</v>
      </c>
      <c r="I209" s="11" t="s">
        <v>47</v>
      </c>
      <c r="J209" s="14"/>
      <c r="K209" s="14"/>
      <c r="L209" s="12" t="s">
        <v>48</v>
      </c>
      <c r="M209" s="12" t="s">
        <v>736</v>
      </c>
      <c r="N209" s="14"/>
    </row>
    <row r="210" ht="15.75" customHeight="1">
      <c r="A210" s="12" t="s">
        <v>737</v>
      </c>
      <c r="B210" s="12" t="s">
        <v>738</v>
      </c>
      <c r="C210" s="89" t="s">
        <v>709</v>
      </c>
      <c r="D210" s="11" t="s">
        <v>453</v>
      </c>
      <c r="E210" s="11" t="s">
        <v>739</v>
      </c>
      <c r="F210" s="11" t="s">
        <v>203</v>
      </c>
      <c r="G210" s="11" t="s">
        <v>22</v>
      </c>
      <c r="H210" s="11" t="s">
        <v>208</v>
      </c>
      <c r="I210" s="11" t="s">
        <v>24</v>
      </c>
      <c r="J210" s="12" t="s">
        <v>25</v>
      </c>
      <c r="K210" s="12" t="s">
        <v>24</v>
      </c>
      <c r="L210" s="11" t="s">
        <v>26</v>
      </c>
      <c r="M210" s="11" t="s">
        <v>740</v>
      </c>
      <c r="N210" s="19" t="s">
        <v>741</v>
      </c>
    </row>
    <row r="211" ht="15.75" customHeight="1">
      <c r="A211" s="14"/>
      <c r="B211" s="14"/>
      <c r="C211" s="14"/>
      <c r="D211" s="14"/>
      <c r="E211" s="14"/>
      <c r="F211" s="14"/>
      <c r="G211" s="11" t="s">
        <v>22</v>
      </c>
      <c r="H211" s="12" t="s">
        <v>504</v>
      </c>
      <c r="I211" s="12" t="s">
        <v>24</v>
      </c>
      <c r="J211" s="14"/>
      <c r="K211" s="14"/>
      <c r="L211" s="90" t="s">
        <v>26</v>
      </c>
      <c r="M211" s="12" t="s">
        <v>742</v>
      </c>
      <c r="N211" s="14"/>
    </row>
    <row r="212" ht="15.75" customHeight="1">
      <c r="A212" s="12" t="s">
        <v>743</v>
      </c>
      <c r="B212" s="11" t="s">
        <v>744</v>
      </c>
      <c r="C212" s="89" t="s">
        <v>709</v>
      </c>
      <c r="D212" s="11" t="s">
        <v>201</v>
      </c>
      <c r="E212" s="11" t="s">
        <v>745</v>
      </c>
      <c r="F212" s="11" t="s">
        <v>203</v>
      </c>
      <c r="G212" s="11" t="s">
        <v>22</v>
      </c>
      <c r="H212" s="11" t="s">
        <v>208</v>
      </c>
      <c r="I212" s="11" t="s">
        <v>47</v>
      </c>
      <c r="J212" s="12" t="s">
        <v>25</v>
      </c>
      <c r="K212" s="12" t="s">
        <v>47</v>
      </c>
      <c r="L212" s="11" t="s">
        <v>48</v>
      </c>
      <c r="M212" s="11" t="s">
        <v>746</v>
      </c>
      <c r="N212" s="19" t="s">
        <v>747</v>
      </c>
    </row>
    <row r="213" ht="15.75" customHeight="1">
      <c r="A213" s="14"/>
      <c r="B213" s="14"/>
      <c r="C213" s="14"/>
      <c r="D213" s="14"/>
      <c r="E213" s="14"/>
      <c r="F213" s="14"/>
      <c r="G213" s="11" t="s">
        <v>22</v>
      </c>
      <c r="H213" s="12" t="s">
        <v>504</v>
      </c>
      <c r="I213" s="12" t="s">
        <v>47</v>
      </c>
      <c r="J213" s="14"/>
      <c r="K213" s="14"/>
      <c r="L213" s="12" t="s">
        <v>48</v>
      </c>
      <c r="M213" s="12" t="s">
        <v>748</v>
      </c>
      <c r="N213" s="14"/>
    </row>
    <row r="214" ht="15.75" customHeight="1">
      <c r="A214" s="12" t="s">
        <v>743</v>
      </c>
      <c r="B214" s="12" t="s">
        <v>749</v>
      </c>
      <c r="C214" s="89" t="s">
        <v>709</v>
      </c>
      <c r="D214" s="11" t="s">
        <v>201</v>
      </c>
      <c r="E214" s="11" t="s">
        <v>745</v>
      </c>
      <c r="F214" s="11" t="s">
        <v>203</v>
      </c>
      <c r="G214" s="11" t="s">
        <v>22</v>
      </c>
      <c r="H214" s="11" t="s">
        <v>208</v>
      </c>
      <c r="I214" s="11" t="s">
        <v>47</v>
      </c>
      <c r="J214" s="12" t="s">
        <v>25</v>
      </c>
      <c r="K214" s="12" t="s">
        <v>47</v>
      </c>
      <c r="L214" s="11" t="s">
        <v>48</v>
      </c>
      <c r="M214" s="11" t="s">
        <v>746</v>
      </c>
      <c r="N214" s="19" t="s">
        <v>747</v>
      </c>
    </row>
    <row r="215" ht="15.75" customHeight="1">
      <c r="A215" s="14"/>
      <c r="B215" s="14"/>
      <c r="C215" s="14"/>
      <c r="D215" s="14"/>
      <c r="E215" s="14"/>
      <c r="F215" s="14"/>
      <c r="G215" s="11" t="s">
        <v>22</v>
      </c>
      <c r="H215" s="12" t="s">
        <v>504</v>
      </c>
      <c r="I215" s="12" t="s">
        <v>47</v>
      </c>
      <c r="J215" s="14"/>
      <c r="K215" s="14"/>
      <c r="L215" s="12" t="s">
        <v>48</v>
      </c>
      <c r="M215" s="12" t="s">
        <v>748</v>
      </c>
      <c r="N215" s="14"/>
    </row>
    <row r="216" ht="15.75" customHeight="1">
      <c r="A216" s="12" t="s">
        <v>750</v>
      </c>
      <c r="B216" s="11" t="s">
        <v>751</v>
      </c>
      <c r="C216" s="11" t="s">
        <v>709</v>
      </c>
      <c r="D216" s="11" t="s">
        <v>251</v>
      </c>
      <c r="E216" s="9" t="s">
        <v>358</v>
      </c>
      <c r="F216" s="11" t="s">
        <v>203</v>
      </c>
      <c r="G216" s="11" t="s">
        <v>22</v>
      </c>
      <c r="H216" s="11" t="s">
        <v>359</v>
      </c>
      <c r="I216" s="11" t="s">
        <v>47</v>
      </c>
      <c r="J216" s="12" t="s">
        <v>25</v>
      </c>
      <c r="K216" s="12" t="s">
        <v>47</v>
      </c>
      <c r="L216" s="11" t="s">
        <v>48</v>
      </c>
      <c r="M216" s="47" t="s">
        <v>752</v>
      </c>
      <c r="N216" s="19" t="s">
        <v>753</v>
      </c>
    </row>
    <row r="217" ht="15.75" customHeight="1">
      <c r="A217" s="14"/>
      <c r="B217" s="14"/>
      <c r="C217" s="14"/>
      <c r="D217" s="14"/>
      <c r="F217" s="14"/>
      <c r="G217" s="11" t="s">
        <v>22</v>
      </c>
      <c r="H217" s="12" t="s">
        <v>504</v>
      </c>
      <c r="I217" s="12" t="s">
        <v>47</v>
      </c>
      <c r="J217" s="14"/>
      <c r="K217" s="14"/>
      <c r="L217" s="12" t="s">
        <v>48</v>
      </c>
      <c r="M217" s="45" t="s">
        <v>754</v>
      </c>
      <c r="N217" s="14"/>
    </row>
    <row r="218" ht="15.75" customHeight="1">
      <c r="A218" s="45" t="s">
        <v>755</v>
      </c>
      <c r="B218" s="45" t="s">
        <v>756</v>
      </c>
      <c r="C218" s="45" t="s">
        <v>709</v>
      </c>
      <c r="D218" s="45" t="s">
        <v>251</v>
      </c>
      <c r="E218" s="48" t="s">
        <v>757</v>
      </c>
      <c r="F218" s="45" t="s">
        <v>758</v>
      </c>
      <c r="G218" s="45" t="s">
        <v>22</v>
      </c>
      <c r="H218" s="45" t="s">
        <v>504</v>
      </c>
      <c r="I218" s="80" t="s">
        <v>47</v>
      </c>
      <c r="J218" s="45" t="s">
        <v>25</v>
      </c>
      <c r="K218" s="45" t="s">
        <v>47</v>
      </c>
      <c r="L218" s="91" t="s">
        <v>48</v>
      </c>
      <c r="M218" s="92" t="s">
        <v>759</v>
      </c>
      <c r="N218" s="93" t="s">
        <v>760</v>
      </c>
      <c r="O218" s="80"/>
      <c r="P218" s="80"/>
      <c r="Q218" s="80"/>
      <c r="R218" s="80"/>
    </row>
    <row r="219" ht="15.75" customHeight="1">
      <c r="A219" s="14"/>
      <c r="B219" s="14"/>
      <c r="C219" s="14"/>
      <c r="D219" s="14"/>
      <c r="F219" s="14"/>
      <c r="G219" s="45" t="s">
        <v>22</v>
      </c>
      <c r="H219" s="45" t="s">
        <v>208</v>
      </c>
      <c r="I219" s="45" t="s">
        <v>47</v>
      </c>
      <c r="J219" s="14"/>
      <c r="K219" s="14"/>
      <c r="L219" s="94" t="s">
        <v>48</v>
      </c>
      <c r="M219" s="94" t="s">
        <v>761</v>
      </c>
      <c r="N219" s="14"/>
      <c r="O219" s="80"/>
      <c r="P219" s="80"/>
      <c r="Q219" s="81"/>
      <c r="R219" s="80"/>
    </row>
    <row r="220" ht="15.75" customHeight="1">
      <c r="A220" s="95" t="s">
        <v>762</v>
      </c>
      <c r="B220" s="96" t="s">
        <v>763</v>
      </c>
      <c r="C220" s="97" t="s">
        <v>709</v>
      </c>
      <c r="D220" s="11" t="s">
        <v>453</v>
      </c>
      <c r="E220" s="98" t="s">
        <v>764</v>
      </c>
      <c r="F220" s="95" t="s">
        <v>765</v>
      </c>
      <c r="G220" s="97" t="s">
        <v>22</v>
      </c>
      <c r="H220" s="97" t="s">
        <v>504</v>
      </c>
      <c r="I220" s="80" t="s">
        <v>47</v>
      </c>
      <c r="J220" s="96" t="s">
        <v>25</v>
      </c>
      <c r="K220" s="96" t="s">
        <v>47</v>
      </c>
      <c r="L220" s="91" t="s">
        <v>48</v>
      </c>
      <c r="M220" s="92" t="s">
        <v>766</v>
      </c>
      <c r="N220" s="99" t="s">
        <v>767</v>
      </c>
      <c r="O220" s="80"/>
      <c r="P220" s="80"/>
      <c r="Q220" s="81"/>
      <c r="R220" s="80"/>
    </row>
    <row r="221" ht="15.75" customHeight="1">
      <c r="A221" s="14"/>
      <c r="B221" s="14"/>
      <c r="C221" s="14"/>
      <c r="D221" s="14"/>
      <c r="F221" s="14"/>
      <c r="G221" s="97" t="s">
        <v>22</v>
      </c>
      <c r="H221" s="97" t="s">
        <v>208</v>
      </c>
      <c r="I221" s="96" t="s">
        <v>47</v>
      </c>
      <c r="J221" s="14"/>
      <c r="K221" s="14"/>
      <c r="L221" s="100" t="s">
        <v>48</v>
      </c>
      <c r="M221" s="100" t="s">
        <v>768</v>
      </c>
      <c r="N221" s="14"/>
      <c r="O221" s="80"/>
      <c r="P221" s="80"/>
      <c r="Q221" s="81"/>
      <c r="R221" s="80"/>
    </row>
    <row r="222" ht="15.75" customHeight="1">
      <c r="A222" s="95" t="s">
        <v>769</v>
      </c>
      <c r="B222" s="96" t="s">
        <v>770</v>
      </c>
      <c r="C222" s="97" t="s">
        <v>709</v>
      </c>
      <c r="D222" s="101" t="s">
        <v>19</v>
      </c>
      <c r="E222" s="102" t="s">
        <v>764</v>
      </c>
      <c r="F222" s="97" t="s">
        <v>765</v>
      </c>
      <c r="G222" s="97" t="s">
        <v>22</v>
      </c>
      <c r="H222" s="97" t="s">
        <v>504</v>
      </c>
      <c r="I222" s="96" t="s">
        <v>47</v>
      </c>
      <c r="J222" s="96" t="s">
        <v>25</v>
      </c>
      <c r="K222" s="96" t="s">
        <v>47</v>
      </c>
      <c r="L222" s="91" t="s">
        <v>48</v>
      </c>
      <c r="M222" s="92" t="s">
        <v>771</v>
      </c>
      <c r="N222" s="99" t="s">
        <v>772</v>
      </c>
      <c r="O222" s="80"/>
      <c r="P222" s="80"/>
      <c r="Q222" s="81"/>
      <c r="R222" s="80"/>
    </row>
    <row r="223" ht="15.75" customHeight="1">
      <c r="A223" s="14"/>
      <c r="B223" s="14"/>
      <c r="C223" s="14"/>
      <c r="D223" s="14"/>
      <c r="F223" s="14"/>
      <c r="G223" s="97" t="s">
        <v>22</v>
      </c>
      <c r="H223" s="97" t="s">
        <v>208</v>
      </c>
      <c r="I223" s="96" t="s">
        <v>47</v>
      </c>
      <c r="J223" s="14"/>
      <c r="K223" s="14"/>
      <c r="L223" s="100" t="s">
        <v>48</v>
      </c>
      <c r="M223" s="100" t="s">
        <v>773</v>
      </c>
      <c r="N223" s="14"/>
      <c r="O223" s="80"/>
      <c r="P223" s="80"/>
      <c r="Q223" s="81"/>
      <c r="R223" s="80"/>
    </row>
    <row r="224" ht="15.75" customHeight="1">
      <c r="A224" s="95" t="s">
        <v>774</v>
      </c>
      <c r="B224" s="96" t="s">
        <v>775</v>
      </c>
      <c r="C224" s="97" t="s">
        <v>709</v>
      </c>
      <c r="D224" s="101" t="s">
        <v>19</v>
      </c>
      <c r="E224" s="98" t="s">
        <v>776</v>
      </c>
      <c r="F224" s="97" t="s">
        <v>765</v>
      </c>
      <c r="G224" s="97" t="s">
        <v>22</v>
      </c>
      <c r="H224" s="97" t="s">
        <v>504</v>
      </c>
      <c r="I224" s="80" t="s">
        <v>47</v>
      </c>
      <c r="J224" s="96" t="s">
        <v>25</v>
      </c>
      <c r="K224" s="96" t="s">
        <v>47</v>
      </c>
      <c r="L224" s="91" t="s">
        <v>48</v>
      </c>
      <c r="M224" s="92" t="s">
        <v>777</v>
      </c>
      <c r="N224" s="103" t="s">
        <v>778</v>
      </c>
      <c r="O224" s="80"/>
      <c r="P224" s="80"/>
      <c r="Q224" s="81"/>
      <c r="R224" s="80"/>
    </row>
    <row r="225" ht="15.75" customHeight="1">
      <c r="A225" s="14"/>
      <c r="B225" s="14"/>
      <c r="C225" s="14"/>
      <c r="D225" s="14"/>
      <c r="F225" s="14"/>
      <c r="G225" s="97" t="s">
        <v>22</v>
      </c>
      <c r="H225" s="97" t="s">
        <v>208</v>
      </c>
      <c r="I225" s="96" t="s">
        <v>47</v>
      </c>
      <c r="J225" s="14"/>
      <c r="K225" s="14"/>
      <c r="L225" s="100" t="s">
        <v>48</v>
      </c>
      <c r="M225" s="100" t="s">
        <v>779</v>
      </c>
      <c r="N225" s="14"/>
      <c r="O225" s="80"/>
      <c r="P225" s="80"/>
      <c r="Q225" s="81"/>
      <c r="R225" s="80"/>
    </row>
    <row r="226" ht="15.75" customHeight="1">
      <c r="A226" s="97" t="s">
        <v>780</v>
      </c>
      <c r="B226" s="104" t="s">
        <v>781</v>
      </c>
      <c r="C226" s="97" t="s">
        <v>709</v>
      </c>
      <c r="D226" s="24" t="s">
        <v>782</v>
      </c>
      <c r="E226" s="102" t="s">
        <v>776</v>
      </c>
      <c r="F226" s="97" t="s">
        <v>765</v>
      </c>
      <c r="G226" s="97" t="s">
        <v>22</v>
      </c>
      <c r="H226" s="97" t="s">
        <v>504</v>
      </c>
      <c r="I226" s="80" t="s">
        <v>24</v>
      </c>
      <c r="J226" s="96" t="s">
        <v>25</v>
      </c>
      <c r="K226" s="96" t="s">
        <v>24</v>
      </c>
      <c r="L226" s="91" t="s">
        <v>534</v>
      </c>
      <c r="M226" s="92" t="s">
        <v>783</v>
      </c>
      <c r="N226" s="99" t="s">
        <v>784</v>
      </c>
    </row>
    <row r="227" ht="15.75" customHeight="1">
      <c r="A227" s="14"/>
      <c r="B227" s="14"/>
      <c r="C227" s="14"/>
      <c r="D227" s="14"/>
      <c r="F227" s="14"/>
      <c r="G227" s="97" t="s">
        <v>22</v>
      </c>
      <c r="H227" s="97" t="s">
        <v>208</v>
      </c>
      <c r="I227" s="96" t="s">
        <v>24</v>
      </c>
      <c r="J227" s="14"/>
      <c r="K227" s="14"/>
      <c r="L227" s="100" t="s">
        <v>534</v>
      </c>
      <c r="M227" s="100" t="s">
        <v>785</v>
      </c>
      <c r="N227" s="14"/>
    </row>
    <row r="228" ht="15.75" customHeight="1">
      <c r="A228" s="95" t="s">
        <v>786</v>
      </c>
      <c r="B228" s="96" t="s">
        <v>787</v>
      </c>
      <c r="C228" s="97" t="s">
        <v>709</v>
      </c>
      <c r="D228" s="101" t="s">
        <v>453</v>
      </c>
      <c r="E228" s="98" t="s">
        <v>788</v>
      </c>
      <c r="F228" s="105">
        <v>46085.0</v>
      </c>
      <c r="G228" s="97" t="s">
        <v>22</v>
      </c>
      <c r="H228" s="97" t="s">
        <v>504</v>
      </c>
      <c r="I228" s="80" t="s">
        <v>24</v>
      </c>
      <c r="J228" s="96" t="s">
        <v>25</v>
      </c>
      <c r="K228" s="96" t="s">
        <v>24</v>
      </c>
      <c r="L228" s="91" t="s">
        <v>26</v>
      </c>
      <c r="M228" s="92" t="s">
        <v>789</v>
      </c>
      <c r="N228" s="103" t="s">
        <v>790</v>
      </c>
    </row>
    <row r="229" ht="15.75" customHeight="1">
      <c r="A229" s="14"/>
      <c r="B229" s="14"/>
      <c r="C229" s="14"/>
      <c r="D229" s="14"/>
      <c r="F229" s="14"/>
      <c r="G229" s="97" t="s">
        <v>22</v>
      </c>
      <c r="H229" s="97" t="s">
        <v>208</v>
      </c>
      <c r="I229" s="96" t="s">
        <v>24</v>
      </c>
      <c r="J229" s="14"/>
      <c r="K229" s="14"/>
      <c r="L229" s="100" t="s">
        <v>104</v>
      </c>
      <c r="M229" s="100" t="s">
        <v>791</v>
      </c>
      <c r="N229" s="14"/>
    </row>
    <row r="230" ht="15.75" customHeight="1">
      <c r="A230" s="95" t="s">
        <v>792</v>
      </c>
      <c r="B230" s="96" t="s">
        <v>793</v>
      </c>
      <c r="C230" s="97" t="s">
        <v>709</v>
      </c>
      <c r="D230" s="101" t="s">
        <v>19</v>
      </c>
      <c r="E230" s="98" t="s">
        <v>794</v>
      </c>
      <c r="F230" s="105">
        <v>46085.0</v>
      </c>
      <c r="G230" s="97" t="s">
        <v>22</v>
      </c>
      <c r="H230" s="97" t="s">
        <v>504</v>
      </c>
      <c r="I230" s="80" t="s">
        <v>24</v>
      </c>
      <c r="J230" s="96" t="s">
        <v>25</v>
      </c>
      <c r="K230" s="96" t="s">
        <v>24</v>
      </c>
      <c r="L230" s="91" t="s">
        <v>104</v>
      </c>
      <c r="M230" s="92" t="s">
        <v>795</v>
      </c>
      <c r="N230" s="103" t="s">
        <v>796</v>
      </c>
    </row>
    <row r="231" ht="15.75" customHeight="1">
      <c r="A231" s="14"/>
      <c r="B231" s="14"/>
      <c r="C231" s="14"/>
      <c r="D231" s="14"/>
      <c r="F231" s="14"/>
      <c r="G231" s="97" t="s">
        <v>22</v>
      </c>
      <c r="H231" s="97" t="s">
        <v>208</v>
      </c>
      <c r="I231" s="96" t="s">
        <v>24</v>
      </c>
      <c r="J231" s="14"/>
      <c r="K231" s="14"/>
      <c r="L231" s="106" t="s">
        <v>104</v>
      </c>
      <c r="M231" s="106" t="s">
        <v>797</v>
      </c>
      <c r="N231" s="14"/>
    </row>
    <row r="232" ht="15.75" customHeight="1">
      <c r="A232" s="95" t="s">
        <v>798</v>
      </c>
      <c r="B232" s="96" t="s">
        <v>799</v>
      </c>
      <c r="C232" s="97" t="s">
        <v>709</v>
      </c>
      <c r="D232" s="101" t="s">
        <v>653</v>
      </c>
      <c r="E232" s="98" t="s">
        <v>800</v>
      </c>
      <c r="F232" s="105">
        <v>46116.0</v>
      </c>
      <c r="G232" s="97" t="s">
        <v>22</v>
      </c>
      <c r="H232" s="97" t="s">
        <v>504</v>
      </c>
      <c r="I232" s="80" t="s">
        <v>24</v>
      </c>
      <c r="J232" s="96" t="s">
        <v>151</v>
      </c>
      <c r="K232" s="96" t="s">
        <v>47</v>
      </c>
      <c r="L232" s="107" t="s">
        <v>104</v>
      </c>
      <c r="M232" s="107" t="s">
        <v>801</v>
      </c>
      <c r="N232" s="103" t="s">
        <v>802</v>
      </c>
      <c r="O232" s="80"/>
      <c r="P232" s="80"/>
      <c r="Q232" s="80"/>
      <c r="R232" s="80"/>
    </row>
    <row r="233" ht="15.75" customHeight="1">
      <c r="A233" s="14"/>
      <c r="B233" s="14"/>
      <c r="C233" s="14"/>
      <c r="D233" s="14"/>
      <c r="F233" s="14"/>
      <c r="G233" s="97" t="s">
        <v>22</v>
      </c>
      <c r="H233" s="97" t="s">
        <v>208</v>
      </c>
      <c r="I233" s="96" t="s">
        <v>47</v>
      </c>
      <c r="J233" s="14"/>
      <c r="K233" s="14"/>
      <c r="L233" s="106" t="s">
        <v>48</v>
      </c>
      <c r="M233" s="106" t="s">
        <v>797</v>
      </c>
      <c r="N233" s="14"/>
      <c r="O233" s="80"/>
      <c r="P233" s="80"/>
      <c r="Q233" s="81"/>
      <c r="R233" s="80"/>
    </row>
    <row r="234" ht="15.75" customHeight="1">
      <c r="A234" s="95" t="s">
        <v>803</v>
      </c>
      <c r="B234" s="96" t="s">
        <v>804</v>
      </c>
      <c r="C234" s="97" t="s">
        <v>709</v>
      </c>
      <c r="D234" s="101" t="s">
        <v>19</v>
      </c>
      <c r="E234" s="98" t="s">
        <v>805</v>
      </c>
      <c r="F234" s="105">
        <v>46116.0</v>
      </c>
      <c r="G234" s="97" t="s">
        <v>22</v>
      </c>
      <c r="H234" s="97" t="s">
        <v>504</v>
      </c>
      <c r="I234" s="80" t="s">
        <v>47</v>
      </c>
      <c r="J234" s="96" t="s">
        <v>25</v>
      </c>
      <c r="K234" s="96" t="s">
        <v>47</v>
      </c>
      <c r="L234" s="106" t="s">
        <v>48</v>
      </c>
      <c r="M234" s="107" t="s">
        <v>806</v>
      </c>
      <c r="N234" s="103" t="s">
        <v>807</v>
      </c>
      <c r="O234" s="80"/>
      <c r="P234" s="80"/>
      <c r="Q234" s="81"/>
      <c r="R234" s="80"/>
    </row>
    <row r="235" ht="15.75" customHeight="1">
      <c r="A235" s="14"/>
      <c r="B235" s="14"/>
      <c r="C235" s="14"/>
      <c r="D235" s="14"/>
      <c r="F235" s="14"/>
      <c r="G235" s="97" t="s">
        <v>22</v>
      </c>
      <c r="H235" s="97" t="s">
        <v>208</v>
      </c>
      <c r="I235" s="96" t="s">
        <v>47</v>
      </c>
      <c r="J235" s="14"/>
      <c r="K235" s="14"/>
      <c r="L235" s="106" t="s">
        <v>48</v>
      </c>
      <c r="M235" s="106" t="s">
        <v>808</v>
      </c>
      <c r="N235" s="14"/>
      <c r="O235" s="80"/>
      <c r="P235" s="80"/>
      <c r="Q235" s="81"/>
      <c r="R235" s="80"/>
    </row>
    <row r="236" ht="15.75" customHeight="1">
      <c r="A236" s="95" t="s">
        <v>809</v>
      </c>
      <c r="B236" s="96" t="s">
        <v>810</v>
      </c>
      <c r="C236" s="97" t="s">
        <v>709</v>
      </c>
      <c r="D236" s="101" t="s">
        <v>653</v>
      </c>
      <c r="E236" s="98" t="s">
        <v>776</v>
      </c>
      <c r="F236" s="105">
        <v>46146.0</v>
      </c>
      <c r="G236" s="97" t="s">
        <v>22</v>
      </c>
      <c r="H236" s="97" t="s">
        <v>504</v>
      </c>
      <c r="I236" s="80" t="s">
        <v>24</v>
      </c>
      <c r="J236" s="96" t="s">
        <v>151</v>
      </c>
      <c r="K236" s="96" t="s">
        <v>24</v>
      </c>
      <c r="L236" s="107" t="s">
        <v>97</v>
      </c>
      <c r="M236" s="107" t="s">
        <v>811</v>
      </c>
      <c r="N236" s="103" t="s">
        <v>812</v>
      </c>
      <c r="O236" s="80"/>
      <c r="P236" s="80"/>
      <c r="Q236" s="81"/>
      <c r="R236" s="80"/>
    </row>
    <row r="237" ht="15.75" customHeight="1">
      <c r="A237" s="14"/>
      <c r="B237" s="14"/>
      <c r="C237" s="14"/>
      <c r="D237" s="14"/>
      <c r="F237" s="14"/>
      <c r="G237" s="97" t="s">
        <v>22</v>
      </c>
      <c r="H237" s="97" t="s">
        <v>208</v>
      </c>
      <c r="I237" s="96" t="s">
        <v>47</v>
      </c>
      <c r="J237" s="14"/>
      <c r="K237" s="14"/>
      <c r="L237" s="91" t="s">
        <v>26</v>
      </c>
      <c r="M237" s="106" t="s">
        <v>813</v>
      </c>
      <c r="N237" s="14"/>
      <c r="O237" s="80"/>
      <c r="P237" s="80"/>
      <c r="Q237" s="81"/>
      <c r="R237" s="80"/>
    </row>
    <row r="238" ht="15.75" customHeight="1">
      <c r="A238" s="95" t="s">
        <v>814</v>
      </c>
      <c r="B238" s="96" t="s">
        <v>815</v>
      </c>
      <c r="C238" s="97" t="s">
        <v>709</v>
      </c>
      <c r="D238" s="101" t="s">
        <v>653</v>
      </c>
      <c r="E238" s="98" t="s">
        <v>776</v>
      </c>
      <c r="F238" s="105">
        <v>46146.0</v>
      </c>
      <c r="G238" s="97" t="s">
        <v>22</v>
      </c>
      <c r="H238" s="97" t="s">
        <v>504</v>
      </c>
      <c r="I238" s="80" t="s">
        <v>47</v>
      </c>
      <c r="J238" s="96" t="s">
        <v>25</v>
      </c>
      <c r="K238" s="96" t="s">
        <v>47</v>
      </c>
      <c r="L238" s="106" t="s">
        <v>48</v>
      </c>
      <c r="M238" s="107" t="s">
        <v>816</v>
      </c>
      <c r="N238" s="103" t="s">
        <v>817</v>
      </c>
      <c r="O238" s="80"/>
      <c r="P238" s="80"/>
      <c r="Q238" s="81"/>
      <c r="R238" s="80"/>
    </row>
    <row r="239" ht="15.75" customHeight="1">
      <c r="A239" s="14"/>
      <c r="B239" s="14"/>
      <c r="C239" s="14"/>
      <c r="D239" s="14"/>
      <c r="F239" s="14"/>
      <c r="G239" s="97" t="s">
        <v>22</v>
      </c>
      <c r="H239" s="97" t="s">
        <v>208</v>
      </c>
      <c r="I239" s="96" t="s">
        <v>47</v>
      </c>
      <c r="J239" s="14"/>
      <c r="K239" s="14"/>
      <c r="L239" s="106" t="s">
        <v>48</v>
      </c>
      <c r="M239" s="106" t="s">
        <v>818</v>
      </c>
      <c r="N239" s="14"/>
      <c r="O239" s="80"/>
      <c r="P239" s="80"/>
      <c r="Q239" s="81"/>
      <c r="R239" s="80"/>
    </row>
    <row r="240" ht="15.75" customHeight="1">
      <c r="A240" s="95" t="s">
        <v>819</v>
      </c>
      <c r="B240" s="96" t="s">
        <v>820</v>
      </c>
      <c r="C240" s="95" t="s">
        <v>821</v>
      </c>
      <c r="D240" s="95" t="s">
        <v>251</v>
      </c>
      <c r="E240" s="98" t="s">
        <v>805</v>
      </c>
      <c r="F240" s="105">
        <v>46146.0</v>
      </c>
      <c r="G240" s="97" t="s">
        <v>22</v>
      </c>
      <c r="H240" s="97" t="s">
        <v>504</v>
      </c>
      <c r="I240" s="80" t="s">
        <v>47</v>
      </c>
      <c r="J240" s="96" t="s">
        <v>25</v>
      </c>
      <c r="K240" s="80" t="s">
        <v>47</v>
      </c>
      <c r="L240" s="106" t="s">
        <v>48</v>
      </c>
      <c r="M240" s="107" t="s">
        <v>822</v>
      </c>
      <c r="N240" s="103" t="s">
        <v>823</v>
      </c>
      <c r="O240" s="80"/>
      <c r="P240" s="80"/>
      <c r="Q240" s="81"/>
      <c r="R240" s="80"/>
      <c r="S240" s="51"/>
      <c r="T240" s="51"/>
      <c r="U240" s="51"/>
      <c r="V240" s="51"/>
      <c r="W240" s="51"/>
      <c r="X240" s="51"/>
      <c r="Y240" s="51"/>
      <c r="Z240" s="51"/>
      <c r="AA240" s="51"/>
      <c r="AB240" s="51"/>
    </row>
    <row r="241" ht="15.75" customHeight="1">
      <c r="A241" s="14"/>
      <c r="B241" s="14"/>
      <c r="C241" s="14"/>
      <c r="D241" s="14"/>
      <c r="F241" s="14"/>
      <c r="G241" s="97" t="s">
        <v>22</v>
      </c>
      <c r="H241" s="97" t="s">
        <v>208</v>
      </c>
      <c r="I241" s="96" t="s">
        <v>47</v>
      </c>
      <c r="J241" s="14"/>
      <c r="L241" s="106" t="s">
        <v>48</v>
      </c>
      <c r="M241" s="106" t="s">
        <v>824</v>
      </c>
      <c r="N241" s="14"/>
      <c r="O241" s="51"/>
      <c r="P241" s="51"/>
      <c r="Q241" s="51"/>
      <c r="R241" s="51"/>
      <c r="S241" s="51"/>
      <c r="T241" s="51"/>
      <c r="U241" s="51"/>
      <c r="V241" s="51"/>
      <c r="W241" s="51"/>
      <c r="X241" s="51"/>
      <c r="Y241" s="51"/>
      <c r="Z241" s="51"/>
      <c r="AA241" s="51"/>
      <c r="AB241" s="51"/>
    </row>
    <row r="242" ht="15.75" customHeight="1">
      <c r="A242" s="95" t="s">
        <v>825</v>
      </c>
      <c r="B242" s="96" t="s">
        <v>826</v>
      </c>
      <c r="C242" s="95" t="s">
        <v>821</v>
      </c>
      <c r="D242" s="101" t="s">
        <v>19</v>
      </c>
      <c r="E242" s="98" t="s">
        <v>827</v>
      </c>
      <c r="F242" s="105">
        <v>46146.0</v>
      </c>
      <c r="G242" s="97" t="s">
        <v>22</v>
      </c>
      <c r="H242" s="97" t="s">
        <v>504</v>
      </c>
      <c r="I242" s="80" t="s">
        <v>24</v>
      </c>
      <c r="J242" s="96" t="s">
        <v>25</v>
      </c>
      <c r="K242" s="80" t="s">
        <v>24</v>
      </c>
      <c r="L242" s="106" t="s">
        <v>104</v>
      </c>
      <c r="M242" s="107" t="s">
        <v>828</v>
      </c>
      <c r="N242" s="103" t="s">
        <v>829</v>
      </c>
      <c r="O242" s="51"/>
      <c r="P242" s="51"/>
      <c r="Q242" s="51"/>
      <c r="R242" s="51"/>
      <c r="S242" s="51"/>
      <c r="T242" s="51"/>
      <c r="U242" s="51"/>
      <c r="V242" s="51"/>
      <c r="W242" s="51"/>
      <c r="X242" s="51"/>
      <c r="Y242" s="51"/>
      <c r="Z242" s="51"/>
      <c r="AA242" s="51"/>
      <c r="AB242" s="51"/>
    </row>
    <row r="243" ht="15.75" customHeight="1">
      <c r="A243" s="14"/>
      <c r="B243" s="14"/>
      <c r="C243" s="14"/>
      <c r="D243" s="14"/>
      <c r="F243" s="14"/>
      <c r="G243" s="97" t="s">
        <v>22</v>
      </c>
      <c r="H243" s="97" t="s">
        <v>208</v>
      </c>
      <c r="I243" s="96" t="s">
        <v>24</v>
      </c>
      <c r="J243" s="14"/>
      <c r="L243" s="106" t="s">
        <v>104</v>
      </c>
      <c r="M243" s="106" t="s">
        <v>830</v>
      </c>
      <c r="N243" s="14"/>
      <c r="O243" s="51"/>
      <c r="P243" s="51"/>
      <c r="Q243" s="51"/>
      <c r="R243" s="51"/>
      <c r="S243" s="51"/>
      <c r="T243" s="51"/>
      <c r="U243" s="51"/>
      <c r="V243" s="51"/>
      <c r="W243" s="51"/>
      <c r="X243" s="51"/>
      <c r="Y243" s="51"/>
      <c r="Z243" s="51"/>
      <c r="AA243" s="51"/>
      <c r="AB243" s="51"/>
    </row>
    <row r="244" ht="15.75" customHeight="1">
      <c r="A244" s="95" t="s">
        <v>831</v>
      </c>
      <c r="B244" s="96" t="s">
        <v>832</v>
      </c>
      <c r="C244" s="97" t="s">
        <v>709</v>
      </c>
      <c r="D244" s="101" t="s">
        <v>453</v>
      </c>
      <c r="E244" s="20" t="s">
        <v>833</v>
      </c>
      <c r="F244" s="105">
        <v>46146.0</v>
      </c>
      <c r="G244" s="97" t="s">
        <v>22</v>
      </c>
      <c r="H244" s="97" t="s">
        <v>504</v>
      </c>
      <c r="I244" s="80" t="s">
        <v>47</v>
      </c>
      <c r="J244" s="96" t="s">
        <v>25</v>
      </c>
      <c r="K244" s="80" t="s">
        <v>47</v>
      </c>
      <c r="L244" s="108" t="s">
        <v>48</v>
      </c>
      <c r="M244" s="107" t="s">
        <v>834</v>
      </c>
      <c r="N244" s="103" t="s">
        <v>835</v>
      </c>
      <c r="O244" s="51"/>
      <c r="P244" s="51"/>
      <c r="Q244" s="51"/>
      <c r="R244" s="51"/>
      <c r="S244" s="51"/>
      <c r="T244" s="51"/>
      <c r="U244" s="51"/>
      <c r="V244" s="51"/>
      <c r="W244" s="51"/>
      <c r="X244" s="51"/>
      <c r="Y244" s="51"/>
      <c r="Z244" s="51"/>
      <c r="AA244" s="51"/>
      <c r="AB244" s="51"/>
    </row>
    <row r="245" ht="15.75" customHeight="1">
      <c r="A245" s="14"/>
      <c r="B245" s="14"/>
      <c r="C245" s="14"/>
      <c r="D245" s="14"/>
      <c r="F245" s="14"/>
      <c r="G245" s="97" t="s">
        <v>22</v>
      </c>
      <c r="H245" s="97" t="s">
        <v>208</v>
      </c>
      <c r="I245" s="96" t="s">
        <v>47</v>
      </c>
      <c r="J245" s="14"/>
      <c r="L245" s="106" t="s">
        <v>319</v>
      </c>
      <c r="M245" s="106" t="s">
        <v>836</v>
      </c>
      <c r="N245" s="14"/>
      <c r="O245" s="51"/>
      <c r="P245" s="51"/>
      <c r="Q245" s="51"/>
      <c r="R245" s="51"/>
      <c r="S245" s="51"/>
      <c r="T245" s="51"/>
      <c r="U245" s="51"/>
      <c r="V245" s="51"/>
      <c r="W245" s="51"/>
      <c r="X245" s="51"/>
      <c r="Y245" s="51"/>
      <c r="Z245" s="51"/>
      <c r="AA245" s="51"/>
      <c r="AB245" s="51"/>
    </row>
    <row r="246" ht="15.75" customHeight="1">
      <c r="A246" s="95" t="s">
        <v>837</v>
      </c>
      <c r="B246" s="96" t="s">
        <v>838</v>
      </c>
      <c r="C246" s="97" t="s">
        <v>709</v>
      </c>
      <c r="D246" s="101" t="s">
        <v>453</v>
      </c>
      <c r="E246" s="20" t="s">
        <v>839</v>
      </c>
      <c r="F246" s="105">
        <v>46146.0</v>
      </c>
      <c r="G246" s="97" t="s">
        <v>22</v>
      </c>
      <c r="H246" s="97" t="s">
        <v>504</v>
      </c>
      <c r="I246" s="80" t="s">
        <v>24</v>
      </c>
      <c r="J246" s="96" t="s">
        <v>25</v>
      </c>
      <c r="K246" s="80" t="s">
        <v>24</v>
      </c>
      <c r="L246" s="108" t="s">
        <v>97</v>
      </c>
      <c r="M246" s="107" t="s">
        <v>840</v>
      </c>
      <c r="N246" s="99" t="s">
        <v>841</v>
      </c>
      <c r="O246" s="51"/>
      <c r="P246" s="51"/>
      <c r="Q246" s="51"/>
      <c r="R246" s="51"/>
      <c r="S246" s="51"/>
      <c r="T246" s="51"/>
      <c r="U246" s="51"/>
      <c r="V246" s="51"/>
      <c r="W246" s="51"/>
      <c r="X246" s="51"/>
      <c r="Y246" s="51"/>
      <c r="Z246" s="51"/>
      <c r="AA246" s="51"/>
      <c r="AB246" s="51"/>
    </row>
    <row r="247" ht="15.75" customHeight="1">
      <c r="A247" s="14"/>
      <c r="B247" s="14"/>
      <c r="C247" s="14"/>
      <c r="D247" s="14"/>
      <c r="F247" s="14"/>
      <c r="G247" s="97" t="s">
        <v>22</v>
      </c>
      <c r="H247" s="97" t="s">
        <v>208</v>
      </c>
      <c r="I247" s="96" t="s">
        <v>24</v>
      </c>
      <c r="J247" s="14"/>
      <c r="L247" s="106" t="s">
        <v>104</v>
      </c>
      <c r="M247" s="106" t="s">
        <v>842</v>
      </c>
      <c r="N247" s="14"/>
      <c r="O247" s="51"/>
      <c r="P247" s="51"/>
      <c r="Q247" s="51"/>
      <c r="R247" s="51"/>
      <c r="S247" s="51"/>
      <c r="T247" s="51"/>
      <c r="U247" s="51"/>
      <c r="V247" s="51"/>
      <c r="W247" s="51"/>
      <c r="X247" s="51"/>
      <c r="Y247" s="51"/>
      <c r="Z247" s="51"/>
      <c r="AA247" s="51"/>
      <c r="AB247" s="51"/>
    </row>
    <row r="248" ht="15.75" customHeight="1">
      <c r="A248" s="95" t="s">
        <v>843</v>
      </c>
      <c r="B248" s="96" t="s">
        <v>844</v>
      </c>
      <c r="C248" s="97" t="s">
        <v>709</v>
      </c>
      <c r="D248" s="101" t="s">
        <v>19</v>
      </c>
      <c r="E248" s="20" t="s">
        <v>845</v>
      </c>
      <c r="F248" s="105">
        <v>46146.0</v>
      </c>
      <c r="G248" s="97" t="s">
        <v>22</v>
      </c>
      <c r="H248" s="97" t="s">
        <v>504</v>
      </c>
      <c r="I248" s="80" t="s">
        <v>24</v>
      </c>
      <c r="J248" s="96" t="s">
        <v>25</v>
      </c>
      <c r="K248" s="80" t="s">
        <v>24</v>
      </c>
      <c r="L248" s="108" t="s">
        <v>163</v>
      </c>
      <c r="M248" s="107" t="s">
        <v>846</v>
      </c>
      <c r="N248" s="99" t="s">
        <v>847</v>
      </c>
      <c r="O248" s="80"/>
      <c r="P248" s="80"/>
      <c r="Q248" s="80"/>
      <c r="R248" s="80"/>
      <c r="S248" s="51"/>
      <c r="T248" s="51"/>
      <c r="U248" s="51"/>
      <c r="V248" s="51"/>
      <c r="W248" s="51"/>
      <c r="X248" s="51"/>
      <c r="Y248" s="51"/>
      <c r="Z248" s="51"/>
      <c r="AA248" s="51"/>
      <c r="AB248" s="51"/>
    </row>
    <row r="249" ht="15.75" customHeight="1">
      <c r="A249" s="14"/>
      <c r="B249" s="14"/>
      <c r="C249" s="14"/>
      <c r="D249" s="14"/>
      <c r="F249" s="14"/>
      <c r="G249" s="97" t="s">
        <v>22</v>
      </c>
      <c r="H249" s="95" t="s">
        <v>208</v>
      </c>
      <c r="I249" s="80" t="s">
        <v>24</v>
      </c>
      <c r="J249" s="14"/>
      <c r="L249" s="108" t="s">
        <v>163</v>
      </c>
      <c r="M249" s="106" t="s">
        <v>848</v>
      </c>
      <c r="N249" s="14"/>
      <c r="O249" s="109"/>
      <c r="P249" s="80"/>
      <c r="Q249" s="81"/>
      <c r="R249" s="80"/>
      <c r="S249" s="51"/>
      <c r="T249" s="51"/>
      <c r="U249" s="51"/>
      <c r="V249" s="51"/>
      <c r="W249" s="51"/>
      <c r="X249" s="51"/>
      <c r="Y249" s="51"/>
      <c r="Z249" s="51"/>
      <c r="AA249" s="51"/>
      <c r="AB249" s="51"/>
    </row>
    <row r="250" ht="15.75" customHeight="1">
      <c r="A250" s="95" t="s">
        <v>849</v>
      </c>
      <c r="B250" s="96" t="s">
        <v>850</v>
      </c>
      <c r="C250" s="97" t="s">
        <v>709</v>
      </c>
      <c r="D250" s="101" t="s">
        <v>19</v>
      </c>
      <c r="E250" s="90" t="s">
        <v>851</v>
      </c>
      <c r="F250" s="105">
        <v>46146.0</v>
      </c>
      <c r="G250" s="97" t="s">
        <v>22</v>
      </c>
      <c r="H250" s="97" t="s">
        <v>504</v>
      </c>
      <c r="I250" s="80" t="s">
        <v>24</v>
      </c>
      <c r="J250" s="96" t="s">
        <v>25</v>
      </c>
      <c r="K250" s="80" t="s">
        <v>24</v>
      </c>
      <c r="L250" s="108" t="s">
        <v>97</v>
      </c>
      <c r="M250" s="107" t="s">
        <v>852</v>
      </c>
      <c r="N250" s="99" t="s">
        <v>853</v>
      </c>
      <c r="O250" s="109"/>
      <c r="P250" s="80"/>
      <c r="Q250" s="81"/>
      <c r="R250" s="80"/>
      <c r="S250" s="51"/>
      <c r="T250" s="51"/>
      <c r="U250" s="51"/>
      <c r="V250" s="51"/>
      <c r="W250" s="51"/>
      <c r="X250" s="51"/>
      <c r="Y250" s="51"/>
      <c r="Z250" s="51"/>
      <c r="AA250" s="51"/>
      <c r="AB250" s="51"/>
    </row>
    <row r="251" ht="15.75" customHeight="1">
      <c r="A251" s="14"/>
      <c r="B251" s="14"/>
      <c r="C251" s="14"/>
      <c r="D251" s="14"/>
      <c r="F251" s="14"/>
      <c r="G251" s="97" t="s">
        <v>22</v>
      </c>
      <c r="H251" s="97" t="s">
        <v>208</v>
      </c>
      <c r="I251" s="80" t="s">
        <v>24</v>
      </c>
      <c r="J251" s="14"/>
      <c r="L251" s="108" t="s">
        <v>97</v>
      </c>
      <c r="M251" s="106" t="s">
        <v>854</v>
      </c>
      <c r="N251" s="14"/>
      <c r="O251" s="109"/>
      <c r="P251" s="80"/>
      <c r="Q251" s="81"/>
      <c r="R251" s="80"/>
      <c r="S251" s="51"/>
      <c r="T251" s="51"/>
      <c r="U251" s="51"/>
      <c r="V251" s="51"/>
      <c r="W251" s="51"/>
      <c r="X251" s="51"/>
      <c r="Y251" s="51"/>
      <c r="Z251" s="51"/>
      <c r="AA251" s="51"/>
      <c r="AB251" s="51"/>
    </row>
    <row r="252" ht="15.75" customHeight="1">
      <c r="A252" s="95" t="s">
        <v>855</v>
      </c>
      <c r="B252" s="96" t="s">
        <v>856</v>
      </c>
      <c r="C252" s="97" t="s">
        <v>709</v>
      </c>
      <c r="D252" s="12" t="s">
        <v>357</v>
      </c>
      <c r="E252" s="90" t="s">
        <v>851</v>
      </c>
      <c r="F252" s="105">
        <v>46146.0</v>
      </c>
      <c r="G252" s="97" t="s">
        <v>22</v>
      </c>
      <c r="H252" s="97" t="s">
        <v>504</v>
      </c>
      <c r="I252" s="80" t="s">
        <v>24</v>
      </c>
      <c r="J252" s="96" t="s">
        <v>25</v>
      </c>
      <c r="K252" s="80" t="s">
        <v>24</v>
      </c>
      <c r="L252" s="106" t="s">
        <v>104</v>
      </c>
      <c r="M252" s="20" t="s">
        <v>857</v>
      </c>
      <c r="N252" s="99" t="s">
        <v>858</v>
      </c>
      <c r="O252" s="109"/>
      <c r="P252" s="80"/>
      <c r="Q252" s="81"/>
      <c r="R252" s="80"/>
      <c r="S252" s="51"/>
      <c r="T252" s="51"/>
      <c r="U252" s="51"/>
      <c r="V252" s="51"/>
      <c r="W252" s="51"/>
      <c r="X252" s="51"/>
      <c r="Y252" s="51"/>
      <c r="Z252" s="51"/>
      <c r="AA252" s="51"/>
      <c r="AB252" s="51"/>
    </row>
    <row r="253" ht="15.75" customHeight="1">
      <c r="A253" s="14"/>
      <c r="B253" s="14"/>
      <c r="C253" s="14"/>
      <c r="D253" s="14"/>
      <c r="F253" s="14"/>
      <c r="G253" s="97" t="s">
        <v>22</v>
      </c>
      <c r="H253" s="97" t="s">
        <v>208</v>
      </c>
      <c r="I253" s="80" t="s">
        <v>24</v>
      </c>
      <c r="J253" s="14"/>
      <c r="L253" s="110" t="s">
        <v>104</v>
      </c>
      <c r="M253" s="20" t="s">
        <v>859</v>
      </c>
      <c r="N253" s="14"/>
      <c r="O253" s="109"/>
      <c r="P253" s="80"/>
      <c r="Q253" s="81"/>
      <c r="R253" s="80"/>
      <c r="S253" s="51"/>
      <c r="T253" s="51"/>
      <c r="U253" s="51"/>
      <c r="V253" s="51"/>
      <c r="W253" s="51"/>
      <c r="X253" s="51"/>
      <c r="Y253" s="51"/>
      <c r="Z253" s="51"/>
      <c r="AA253" s="51"/>
      <c r="AB253" s="51"/>
    </row>
    <row r="254" ht="15.75" customHeight="1">
      <c r="A254" s="95" t="s">
        <v>860</v>
      </c>
      <c r="B254" s="96" t="s">
        <v>861</v>
      </c>
      <c r="C254" s="97" t="s">
        <v>709</v>
      </c>
      <c r="D254" s="101" t="s">
        <v>19</v>
      </c>
      <c r="E254" s="90" t="s">
        <v>851</v>
      </c>
      <c r="F254" s="105">
        <v>46146.0</v>
      </c>
      <c r="G254" s="97" t="s">
        <v>22</v>
      </c>
      <c r="H254" s="97" t="s">
        <v>504</v>
      </c>
      <c r="I254" s="80" t="s">
        <v>24</v>
      </c>
      <c r="J254" s="96" t="s">
        <v>25</v>
      </c>
      <c r="K254" s="80" t="s">
        <v>24</v>
      </c>
      <c r="L254" s="108" t="s">
        <v>104</v>
      </c>
      <c r="M254" s="107" t="s">
        <v>862</v>
      </c>
      <c r="N254" s="99" t="s">
        <v>863</v>
      </c>
      <c r="O254" s="51"/>
      <c r="P254" s="51"/>
      <c r="Q254" s="51"/>
      <c r="R254" s="51"/>
      <c r="S254" s="51"/>
      <c r="T254" s="51"/>
      <c r="U254" s="51"/>
      <c r="V254" s="51"/>
      <c r="W254" s="51"/>
      <c r="X254" s="51"/>
      <c r="Y254" s="51"/>
      <c r="Z254" s="51"/>
      <c r="AA254" s="51"/>
      <c r="AB254" s="51"/>
    </row>
    <row r="255" ht="15.75" customHeight="1">
      <c r="A255" s="14"/>
      <c r="B255" s="14"/>
      <c r="C255" s="14"/>
      <c r="D255" s="14"/>
      <c r="F255" s="14"/>
      <c r="G255" s="97" t="s">
        <v>22</v>
      </c>
      <c r="H255" s="97" t="s">
        <v>208</v>
      </c>
      <c r="I255" s="80" t="s">
        <v>24</v>
      </c>
      <c r="J255" s="14"/>
      <c r="L255" s="111" t="s">
        <v>104</v>
      </c>
      <c r="M255" s="106" t="s">
        <v>864</v>
      </c>
      <c r="N255" s="14"/>
      <c r="O255" s="51"/>
      <c r="P255" s="51"/>
      <c r="Q255" s="51"/>
      <c r="R255" s="51"/>
      <c r="S255" s="51"/>
      <c r="T255" s="51"/>
      <c r="U255" s="51"/>
      <c r="V255" s="51"/>
      <c r="W255" s="51"/>
      <c r="X255" s="51"/>
      <c r="Y255" s="51"/>
      <c r="Z255" s="51"/>
      <c r="AA255" s="51"/>
      <c r="AB255" s="51"/>
    </row>
    <row r="256" ht="15.75" customHeight="1">
      <c r="A256" s="95" t="s">
        <v>865</v>
      </c>
      <c r="B256" s="96" t="s">
        <v>866</v>
      </c>
      <c r="C256" s="97" t="s">
        <v>709</v>
      </c>
      <c r="D256" s="101" t="s">
        <v>19</v>
      </c>
      <c r="E256" s="112" t="s">
        <v>867</v>
      </c>
      <c r="F256" s="105">
        <v>46146.0</v>
      </c>
      <c r="G256" s="97" t="s">
        <v>22</v>
      </c>
      <c r="H256" s="97" t="s">
        <v>504</v>
      </c>
      <c r="I256" s="80" t="s">
        <v>24</v>
      </c>
      <c r="J256" s="96" t="s">
        <v>25</v>
      </c>
      <c r="K256" s="80" t="s">
        <v>24</v>
      </c>
      <c r="L256" s="108" t="s">
        <v>97</v>
      </c>
      <c r="M256" s="107" t="s">
        <v>868</v>
      </c>
      <c r="N256" s="99" t="s">
        <v>869</v>
      </c>
      <c r="O256" s="51"/>
      <c r="P256" s="51"/>
      <c r="Q256" s="51"/>
      <c r="R256" s="51"/>
      <c r="S256" s="51"/>
      <c r="T256" s="51"/>
      <c r="U256" s="51"/>
      <c r="V256" s="51"/>
      <c r="W256" s="51"/>
      <c r="X256" s="51"/>
      <c r="Y256" s="51"/>
      <c r="Z256" s="51"/>
      <c r="AA256" s="51"/>
      <c r="AB256" s="51"/>
    </row>
    <row r="257" ht="15.75" customHeight="1">
      <c r="A257" s="14"/>
      <c r="B257" s="14"/>
      <c r="C257" s="14"/>
      <c r="D257" s="14"/>
      <c r="F257" s="14"/>
      <c r="G257" s="97" t="s">
        <v>22</v>
      </c>
      <c r="H257" s="97" t="s">
        <v>208</v>
      </c>
      <c r="I257" s="80" t="s">
        <v>24</v>
      </c>
      <c r="J257" s="14"/>
      <c r="L257" s="108" t="s">
        <v>97</v>
      </c>
      <c r="M257" s="107" t="s">
        <v>870</v>
      </c>
      <c r="N257" s="14"/>
      <c r="O257" s="51"/>
      <c r="P257" s="51"/>
      <c r="Q257" s="51"/>
      <c r="R257" s="51"/>
      <c r="S257" s="51"/>
      <c r="T257" s="51"/>
      <c r="U257" s="51"/>
      <c r="V257" s="51"/>
      <c r="W257" s="51"/>
      <c r="X257" s="51"/>
      <c r="Y257" s="51"/>
      <c r="Z257" s="51"/>
      <c r="AA257" s="51"/>
      <c r="AB257" s="51"/>
    </row>
    <row r="258" ht="15.75" customHeight="1">
      <c r="A258" s="95" t="s">
        <v>871</v>
      </c>
      <c r="B258" s="96" t="s">
        <v>872</v>
      </c>
      <c r="C258" s="97" t="s">
        <v>709</v>
      </c>
      <c r="D258" s="101" t="s">
        <v>653</v>
      </c>
      <c r="E258" s="90" t="s">
        <v>833</v>
      </c>
      <c r="F258" s="105">
        <v>46146.0</v>
      </c>
      <c r="G258" s="97" t="s">
        <v>22</v>
      </c>
      <c r="H258" s="97" t="s">
        <v>504</v>
      </c>
      <c r="I258" s="80" t="s">
        <v>24</v>
      </c>
      <c r="J258" s="96" t="s">
        <v>25</v>
      </c>
      <c r="K258" s="80" t="s">
        <v>24</v>
      </c>
      <c r="L258" s="108" t="s">
        <v>104</v>
      </c>
      <c r="M258" s="107" t="s">
        <v>873</v>
      </c>
      <c r="N258" s="99" t="s">
        <v>874</v>
      </c>
      <c r="O258" s="51"/>
      <c r="P258" s="51"/>
      <c r="Q258" s="51"/>
      <c r="R258" s="51"/>
      <c r="S258" s="51"/>
      <c r="T258" s="51"/>
      <c r="U258" s="51"/>
      <c r="V258" s="51"/>
      <c r="W258" s="51"/>
      <c r="X258" s="51"/>
      <c r="Y258" s="51"/>
      <c r="Z258" s="51"/>
      <c r="AA258" s="51"/>
      <c r="AB258" s="51"/>
    </row>
    <row r="259" ht="15.75" customHeight="1">
      <c r="A259" s="14"/>
      <c r="B259" s="14"/>
      <c r="C259" s="14"/>
      <c r="D259" s="14"/>
      <c r="F259" s="14"/>
      <c r="G259" s="97" t="s">
        <v>22</v>
      </c>
      <c r="H259" s="97" t="s">
        <v>208</v>
      </c>
      <c r="I259" s="80" t="s">
        <v>24</v>
      </c>
      <c r="J259" s="14"/>
      <c r="L259" s="111" t="s">
        <v>104</v>
      </c>
      <c r="M259" s="106" t="s">
        <v>875</v>
      </c>
      <c r="N259" s="14"/>
      <c r="O259" s="51"/>
      <c r="P259" s="51"/>
      <c r="Q259" s="51"/>
      <c r="R259" s="51"/>
      <c r="S259" s="51"/>
      <c r="T259" s="51"/>
      <c r="U259" s="51"/>
      <c r="V259" s="51"/>
      <c r="W259" s="51"/>
      <c r="X259" s="51"/>
      <c r="Y259" s="51"/>
      <c r="Z259" s="51"/>
      <c r="AA259" s="51"/>
      <c r="AB259" s="51"/>
    </row>
    <row r="260" ht="15.75" customHeight="1">
      <c r="A260" s="95" t="s">
        <v>876</v>
      </c>
      <c r="B260" s="96" t="s">
        <v>877</v>
      </c>
      <c r="C260" s="97" t="s">
        <v>709</v>
      </c>
      <c r="D260" s="101" t="s">
        <v>453</v>
      </c>
      <c r="E260" s="90" t="s">
        <v>805</v>
      </c>
      <c r="F260" s="105">
        <v>46146.0</v>
      </c>
      <c r="G260" s="97" t="s">
        <v>22</v>
      </c>
      <c r="H260" s="97" t="s">
        <v>504</v>
      </c>
      <c r="I260" s="80" t="s">
        <v>24</v>
      </c>
      <c r="J260" s="96" t="s">
        <v>25</v>
      </c>
      <c r="K260" s="80" t="s">
        <v>24</v>
      </c>
      <c r="L260" s="111" t="s">
        <v>104</v>
      </c>
      <c r="M260" s="20" t="s">
        <v>878</v>
      </c>
      <c r="N260" s="99" t="s">
        <v>879</v>
      </c>
      <c r="O260" s="51"/>
      <c r="P260" s="51"/>
      <c r="Q260" s="51"/>
      <c r="R260" s="51"/>
      <c r="S260" s="51"/>
      <c r="T260" s="51"/>
      <c r="U260" s="51"/>
      <c r="V260" s="51"/>
      <c r="W260" s="51"/>
      <c r="X260" s="51"/>
      <c r="Y260" s="51"/>
      <c r="Z260" s="51"/>
      <c r="AA260" s="51"/>
      <c r="AB260" s="51"/>
    </row>
    <row r="261" ht="15.75" customHeight="1">
      <c r="A261" s="14"/>
      <c r="B261" s="14"/>
      <c r="C261" s="14"/>
      <c r="D261" s="14"/>
      <c r="F261" s="14"/>
      <c r="G261" s="97" t="s">
        <v>22</v>
      </c>
      <c r="H261" s="97" t="s">
        <v>208</v>
      </c>
      <c r="I261" s="80" t="s">
        <v>24</v>
      </c>
      <c r="J261" s="14"/>
      <c r="L261" s="111" t="s">
        <v>104</v>
      </c>
      <c r="M261" s="20" t="s">
        <v>880</v>
      </c>
      <c r="N261" s="14"/>
      <c r="O261" s="51"/>
      <c r="P261" s="51"/>
      <c r="Q261" s="51"/>
      <c r="R261" s="51"/>
      <c r="S261" s="51"/>
      <c r="T261" s="51"/>
      <c r="U261" s="51"/>
      <c r="V261" s="51"/>
      <c r="W261" s="51"/>
      <c r="X261" s="51"/>
      <c r="Y261" s="51"/>
      <c r="Z261" s="51"/>
      <c r="AA261" s="51"/>
      <c r="AB261" s="51"/>
    </row>
    <row r="262" ht="15.75" customHeight="1">
      <c r="A262" s="95" t="s">
        <v>881</v>
      </c>
      <c r="B262" s="96" t="s">
        <v>882</v>
      </c>
      <c r="C262" s="97" t="s">
        <v>709</v>
      </c>
      <c r="D262" s="101" t="s">
        <v>453</v>
      </c>
      <c r="E262" s="20" t="s">
        <v>845</v>
      </c>
      <c r="F262" s="105">
        <v>46146.0</v>
      </c>
      <c r="G262" s="97" t="s">
        <v>22</v>
      </c>
      <c r="H262" s="97" t="s">
        <v>504</v>
      </c>
      <c r="I262" s="80" t="s">
        <v>24</v>
      </c>
      <c r="J262" s="96" t="s">
        <v>25</v>
      </c>
      <c r="K262" s="80" t="s">
        <v>24</v>
      </c>
      <c r="L262" s="111" t="s">
        <v>104</v>
      </c>
      <c r="M262" s="20" t="s">
        <v>883</v>
      </c>
      <c r="N262" s="99" t="s">
        <v>884</v>
      </c>
      <c r="O262" s="51"/>
      <c r="P262" s="51"/>
      <c r="Q262" s="51"/>
      <c r="R262" s="51"/>
      <c r="S262" s="51"/>
      <c r="T262" s="51"/>
      <c r="U262" s="51"/>
      <c r="V262" s="51"/>
      <c r="W262" s="51"/>
      <c r="X262" s="51"/>
      <c r="Y262" s="51"/>
      <c r="Z262" s="51"/>
      <c r="AA262" s="51"/>
      <c r="AB262" s="51"/>
    </row>
    <row r="263" ht="15.75" customHeight="1">
      <c r="A263" s="14"/>
      <c r="B263" s="14"/>
      <c r="C263" s="14"/>
      <c r="D263" s="14"/>
      <c r="F263" s="14"/>
      <c r="G263" s="97" t="s">
        <v>22</v>
      </c>
      <c r="H263" s="97" t="s">
        <v>208</v>
      </c>
      <c r="I263" s="80" t="s">
        <v>24</v>
      </c>
      <c r="J263" s="14"/>
      <c r="L263" s="111" t="s">
        <v>104</v>
      </c>
      <c r="M263" s="20" t="s">
        <v>885</v>
      </c>
      <c r="N263" s="14"/>
      <c r="O263" s="51"/>
      <c r="P263" s="51"/>
      <c r="Q263" s="51"/>
      <c r="R263" s="51"/>
      <c r="S263" s="51"/>
      <c r="T263" s="51"/>
      <c r="U263" s="51"/>
      <c r="V263" s="51"/>
      <c r="W263" s="51"/>
      <c r="X263" s="51"/>
      <c r="Y263" s="51"/>
      <c r="Z263" s="51"/>
      <c r="AA263" s="51"/>
      <c r="AB263" s="51"/>
    </row>
    <row r="264" ht="15.75" customHeight="1">
      <c r="A264" s="113" t="s">
        <v>886</v>
      </c>
      <c r="B264" s="114" t="s">
        <v>1</v>
      </c>
      <c r="C264" s="114" t="s">
        <v>2</v>
      </c>
      <c r="D264" s="114" t="s">
        <v>3</v>
      </c>
      <c r="E264" s="114" t="s">
        <v>4</v>
      </c>
      <c r="F264" s="114" t="s">
        <v>5</v>
      </c>
      <c r="G264" s="114" t="s">
        <v>6</v>
      </c>
      <c r="H264" s="114" t="s">
        <v>7</v>
      </c>
      <c r="I264" s="114" t="s">
        <v>8</v>
      </c>
      <c r="J264" s="115" t="s">
        <v>9</v>
      </c>
      <c r="K264" s="115" t="s">
        <v>10</v>
      </c>
      <c r="L264" s="114" t="s">
        <v>11</v>
      </c>
      <c r="M264" s="114" t="s">
        <v>12</v>
      </c>
      <c r="N264" s="114" t="s">
        <v>13</v>
      </c>
    </row>
    <row r="265" ht="15.75" customHeight="1">
      <c r="A265" s="8" t="s">
        <v>887</v>
      </c>
      <c r="B265" s="11" t="s">
        <v>888</v>
      </c>
      <c r="C265" s="11" t="s">
        <v>18</v>
      </c>
      <c r="D265" s="11" t="s">
        <v>19</v>
      </c>
      <c r="E265" s="11" t="s">
        <v>889</v>
      </c>
      <c r="F265" s="11" t="s">
        <v>220</v>
      </c>
      <c r="G265" s="11" t="s">
        <v>22</v>
      </c>
      <c r="H265" s="11" t="s">
        <v>32</v>
      </c>
      <c r="I265" s="11" t="s">
        <v>47</v>
      </c>
      <c r="J265" s="12" t="s">
        <v>25</v>
      </c>
      <c r="K265" s="12" t="s">
        <v>47</v>
      </c>
      <c r="L265" s="11" t="s">
        <v>48</v>
      </c>
      <c r="M265" s="11" t="s">
        <v>890</v>
      </c>
      <c r="N265" s="19" t="s">
        <v>891</v>
      </c>
    </row>
    <row r="266" ht="15.75" customHeight="1">
      <c r="A266" s="8" t="s">
        <v>892</v>
      </c>
      <c r="B266" s="14"/>
      <c r="C266" s="14"/>
      <c r="D266" s="14"/>
      <c r="E266" s="14"/>
      <c r="F266" s="14"/>
      <c r="G266" s="11" t="s">
        <v>22</v>
      </c>
      <c r="H266" s="12" t="s">
        <v>359</v>
      </c>
      <c r="I266" s="12" t="s">
        <v>47</v>
      </c>
      <c r="J266" s="14"/>
      <c r="K266" s="14"/>
      <c r="L266" s="11" t="s">
        <v>48</v>
      </c>
      <c r="M266" s="116" t="s">
        <v>893</v>
      </c>
      <c r="N266" s="14"/>
    </row>
    <row r="267" ht="15.75" customHeight="1">
      <c r="A267" s="8" t="s">
        <v>894</v>
      </c>
      <c r="B267" s="12" t="s">
        <v>895</v>
      </c>
      <c r="C267" s="11" t="s">
        <v>18</v>
      </c>
      <c r="D267" s="11" t="s">
        <v>19</v>
      </c>
      <c r="E267" s="11" t="s">
        <v>889</v>
      </c>
      <c r="F267" s="11" t="s">
        <v>220</v>
      </c>
      <c r="G267" s="11" t="s">
        <v>22</v>
      </c>
      <c r="H267" s="11" t="s">
        <v>32</v>
      </c>
      <c r="I267" s="11" t="s">
        <v>47</v>
      </c>
      <c r="J267" s="12" t="s">
        <v>25</v>
      </c>
      <c r="K267" s="12" t="s">
        <v>47</v>
      </c>
      <c r="L267" s="11" t="s">
        <v>48</v>
      </c>
      <c r="M267" s="11" t="s">
        <v>896</v>
      </c>
      <c r="N267" s="19" t="s">
        <v>897</v>
      </c>
    </row>
    <row r="268" ht="15.75" customHeight="1">
      <c r="A268" s="8" t="s">
        <v>898</v>
      </c>
      <c r="B268" s="14"/>
      <c r="C268" s="14"/>
      <c r="D268" s="14"/>
      <c r="E268" s="14"/>
      <c r="F268" s="14"/>
      <c r="G268" s="11" t="s">
        <v>22</v>
      </c>
      <c r="H268" s="12" t="s">
        <v>359</v>
      </c>
      <c r="I268" s="12" t="s">
        <v>47</v>
      </c>
      <c r="J268" s="14"/>
      <c r="K268" s="14"/>
      <c r="L268" s="11" t="s">
        <v>48</v>
      </c>
      <c r="M268" s="116" t="s">
        <v>899</v>
      </c>
      <c r="N268" s="14"/>
    </row>
    <row r="269" ht="15.75" customHeight="1">
      <c r="A269" s="8" t="s">
        <v>900</v>
      </c>
      <c r="B269" s="12" t="s">
        <v>901</v>
      </c>
      <c r="C269" s="11" t="s">
        <v>18</v>
      </c>
      <c r="D269" s="11" t="s">
        <v>902</v>
      </c>
      <c r="E269" s="11" t="s">
        <v>903</v>
      </c>
      <c r="F269" s="11" t="s">
        <v>220</v>
      </c>
      <c r="G269" s="11" t="s">
        <v>22</v>
      </c>
      <c r="H269" s="11" t="s">
        <v>32</v>
      </c>
      <c r="I269" s="11" t="s">
        <v>47</v>
      </c>
      <c r="J269" s="12" t="s">
        <v>25</v>
      </c>
      <c r="K269" s="12" t="s">
        <v>47</v>
      </c>
      <c r="L269" s="11" t="s">
        <v>48</v>
      </c>
      <c r="M269" s="11" t="s">
        <v>904</v>
      </c>
      <c r="N269" s="19" t="s">
        <v>905</v>
      </c>
    </row>
    <row r="270" ht="15.75" customHeight="1">
      <c r="A270" s="8" t="s">
        <v>906</v>
      </c>
      <c r="B270" s="14"/>
      <c r="C270" s="14"/>
      <c r="D270" s="14"/>
      <c r="E270" s="14"/>
      <c r="F270" s="14"/>
      <c r="G270" s="11" t="s">
        <v>22</v>
      </c>
      <c r="H270" s="12" t="s">
        <v>359</v>
      </c>
      <c r="I270" s="12" t="s">
        <v>47</v>
      </c>
      <c r="J270" s="14"/>
      <c r="K270" s="14"/>
      <c r="L270" s="11" t="s">
        <v>48</v>
      </c>
      <c r="M270" s="116" t="s">
        <v>907</v>
      </c>
      <c r="N270" s="14"/>
    </row>
    <row r="271" ht="15.75" customHeight="1">
      <c r="A271" s="8" t="s">
        <v>908</v>
      </c>
      <c r="B271" s="12" t="s">
        <v>909</v>
      </c>
      <c r="C271" s="11" t="s">
        <v>910</v>
      </c>
      <c r="D271" s="11" t="s">
        <v>902</v>
      </c>
      <c r="E271" s="11" t="s">
        <v>911</v>
      </c>
      <c r="F271" s="11" t="s">
        <v>220</v>
      </c>
      <c r="G271" s="11" t="s">
        <v>22</v>
      </c>
      <c r="H271" s="11" t="s">
        <v>32</v>
      </c>
      <c r="I271" s="11" t="s">
        <v>316</v>
      </c>
      <c r="J271" s="12" t="s">
        <v>25</v>
      </c>
      <c r="K271" s="12" t="s">
        <v>47</v>
      </c>
      <c r="L271" s="11" t="s">
        <v>316</v>
      </c>
      <c r="M271" s="11" t="s">
        <v>912</v>
      </c>
      <c r="N271" s="19" t="s">
        <v>913</v>
      </c>
    </row>
    <row r="272" ht="15.75" customHeight="1">
      <c r="A272" s="8" t="s">
        <v>914</v>
      </c>
      <c r="B272" s="14"/>
      <c r="C272" s="14"/>
      <c r="D272" s="14"/>
      <c r="E272" s="14"/>
      <c r="F272" s="14"/>
      <c r="G272" s="11" t="s">
        <v>22</v>
      </c>
      <c r="H272" s="12" t="s">
        <v>359</v>
      </c>
      <c r="I272" s="12" t="s">
        <v>47</v>
      </c>
      <c r="J272" s="14"/>
      <c r="K272" s="14"/>
      <c r="L272" s="12" t="s">
        <v>48</v>
      </c>
      <c r="M272" s="116" t="s">
        <v>915</v>
      </c>
      <c r="N272" s="14"/>
    </row>
    <row r="273" ht="15.75" customHeight="1">
      <c r="A273" s="8" t="s">
        <v>916</v>
      </c>
      <c r="B273" s="12" t="s">
        <v>917</v>
      </c>
      <c r="C273" s="11" t="s">
        <v>918</v>
      </c>
      <c r="D273" s="11" t="s">
        <v>919</v>
      </c>
      <c r="E273" s="11" t="s">
        <v>920</v>
      </c>
      <c r="F273" s="11" t="s">
        <v>220</v>
      </c>
      <c r="G273" s="11" t="s">
        <v>22</v>
      </c>
      <c r="H273" s="11" t="s">
        <v>32</v>
      </c>
      <c r="I273" s="11" t="s">
        <v>47</v>
      </c>
      <c r="J273" s="12" t="s">
        <v>25</v>
      </c>
      <c r="K273" s="12" t="s">
        <v>47</v>
      </c>
      <c r="L273" s="11" t="s">
        <v>48</v>
      </c>
      <c r="M273" s="11" t="s">
        <v>921</v>
      </c>
      <c r="N273" s="19" t="s">
        <v>922</v>
      </c>
    </row>
    <row r="274" ht="15.75" customHeight="1">
      <c r="A274" s="8" t="s">
        <v>923</v>
      </c>
      <c r="B274" s="14"/>
      <c r="C274" s="14"/>
      <c r="D274" s="14"/>
      <c r="E274" s="14"/>
      <c r="F274" s="14"/>
      <c r="G274" s="11" t="s">
        <v>22</v>
      </c>
      <c r="H274" s="12" t="s">
        <v>359</v>
      </c>
      <c r="I274" s="12" t="s">
        <v>47</v>
      </c>
      <c r="J274" s="14"/>
      <c r="K274" s="14"/>
      <c r="L274" s="11" t="s">
        <v>48</v>
      </c>
      <c r="M274" s="116" t="s">
        <v>924</v>
      </c>
      <c r="N274" s="14"/>
    </row>
    <row r="275" ht="15.75" customHeight="1">
      <c r="A275" s="8" t="s">
        <v>925</v>
      </c>
      <c r="B275" s="12" t="s">
        <v>926</v>
      </c>
      <c r="C275" s="11" t="s">
        <v>18</v>
      </c>
      <c r="D275" s="11" t="s">
        <v>927</v>
      </c>
      <c r="E275" s="11" t="s">
        <v>928</v>
      </c>
      <c r="F275" s="11" t="s">
        <v>220</v>
      </c>
      <c r="G275" s="11" t="s">
        <v>22</v>
      </c>
      <c r="H275" s="11" t="s">
        <v>32</v>
      </c>
      <c r="I275" s="11" t="s">
        <v>24</v>
      </c>
      <c r="J275" s="12" t="s">
        <v>25</v>
      </c>
      <c r="K275" s="12" t="s">
        <v>24</v>
      </c>
      <c r="L275" s="11" t="s">
        <v>104</v>
      </c>
      <c r="M275" s="11" t="s">
        <v>929</v>
      </c>
      <c r="N275" s="19" t="s">
        <v>930</v>
      </c>
    </row>
    <row r="276" ht="15.75" customHeight="1">
      <c r="A276" s="8" t="s">
        <v>931</v>
      </c>
      <c r="B276" s="14"/>
      <c r="C276" s="14"/>
      <c r="D276" s="14"/>
      <c r="E276" s="14"/>
      <c r="F276" s="14"/>
      <c r="G276" s="11" t="s">
        <v>22</v>
      </c>
      <c r="H276" s="12" t="s">
        <v>359</v>
      </c>
      <c r="I276" s="12" t="s">
        <v>24</v>
      </c>
      <c r="J276" s="14"/>
      <c r="K276" s="14"/>
      <c r="L276" s="11" t="s">
        <v>104</v>
      </c>
      <c r="M276" s="116" t="s">
        <v>932</v>
      </c>
      <c r="N276" s="14"/>
    </row>
    <row r="277" ht="15.75" customHeight="1">
      <c r="A277" s="8" t="s">
        <v>933</v>
      </c>
      <c r="B277" s="12" t="s">
        <v>934</v>
      </c>
      <c r="C277" s="11" t="s">
        <v>18</v>
      </c>
      <c r="D277" s="11" t="s">
        <v>935</v>
      </c>
      <c r="E277" s="11" t="s">
        <v>936</v>
      </c>
      <c r="F277" s="11" t="s">
        <v>220</v>
      </c>
      <c r="G277" s="11" t="s">
        <v>22</v>
      </c>
      <c r="H277" s="11" t="s">
        <v>32</v>
      </c>
      <c r="I277" s="11" t="s">
        <v>47</v>
      </c>
      <c r="J277" s="12" t="s">
        <v>25</v>
      </c>
      <c r="K277" s="12" t="s">
        <v>47</v>
      </c>
      <c r="L277" s="11" t="s">
        <v>48</v>
      </c>
      <c r="M277" s="11" t="s">
        <v>937</v>
      </c>
      <c r="N277" s="19" t="s">
        <v>938</v>
      </c>
    </row>
    <row r="278" ht="15.75" customHeight="1">
      <c r="A278" s="8" t="s">
        <v>939</v>
      </c>
      <c r="B278" s="14"/>
      <c r="C278" s="14"/>
      <c r="D278" s="14"/>
      <c r="E278" s="14"/>
      <c r="F278" s="14"/>
      <c r="G278" s="11" t="s">
        <v>22</v>
      </c>
      <c r="H278" s="12" t="s">
        <v>359</v>
      </c>
      <c r="I278" s="12" t="s">
        <v>47</v>
      </c>
      <c r="J278" s="14"/>
      <c r="K278" s="14"/>
      <c r="L278" s="11" t="s">
        <v>48</v>
      </c>
      <c r="M278" s="116" t="s">
        <v>940</v>
      </c>
      <c r="N278" s="14"/>
    </row>
    <row r="279" ht="15.75" customHeight="1">
      <c r="A279" s="8" t="s">
        <v>941</v>
      </c>
      <c r="B279" s="12" t="s">
        <v>942</v>
      </c>
      <c r="C279" s="11" t="s">
        <v>18</v>
      </c>
      <c r="D279" s="11" t="s">
        <v>19</v>
      </c>
      <c r="E279" s="11" t="s">
        <v>943</v>
      </c>
      <c r="F279" s="11" t="s">
        <v>220</v>
      </c>
      <c r="G279" s="11" t="s">
        <v>22</v>
      </c>
      <c r="H279" s="11" t="s">
        <v>32</v>
      </c>
      <c r="I279" s="11" t="s">
        <v>47</v>
      </c>
      <c r="J279" s="12" t="s">
        <v>25</v>
      </c>
      <c r="K279" s="12" t="s">
        <v>47</v>
      </c>
      <c r="L279" s="11" t="s">
        <v>48</v>
      </c>
      <c r="M279" s="11" t="s">
        <v>944</v>
      </c>
      <c r="N279" s="19" t="s">
        <v>945</v>
      </c>
    </row>
    <row r="280">
      <c r="A280" s="117" t="s">
        <v>946</v>
      </c>
      <c r="B280" s="14"/>
      <c r="C280" s="14"/>
      <c r="D280" s="14"/>
      <c r="E280" s="14"/>
      <c r="F280" s="14"/>
      <c r="G280" s="11" t="s">
        <v>22</v>
      </c>
      <c r="H280" s="12" t="s">
        <v>359</v>
      </c>
      <c r="I280" s="12" t="s">
        <v>47</v>
      </c>
      <c r="J280" s="14"/>
      <c r="K280" s="14"/>
      <c r="L280" s="11" t="s">
        <v>48</v>
      </c>
      <c r="M280" s="116" t="s">
        <v>947</v>
      </c>
      <c r="N280" s="14"/>
    </row>
    <row r="281" ht="15.75" customHeight="1">
      <c r="A281" s="118" t="s">
        <v>948</v>
      </c>
      <c r="B281" s="119" t="s">
        <v>949</v>
      </c>
      <c r="C281" s="119" t="s">
        <v>950</v>
      </c>
      <c r="D281" s="119"/>
      <c r="E281" s="119" t="s">
        <v>951</v>
      </c>
      <c r="F281" s="119" t="s">
        <v>952</v>
      </c>
      <c r="G281" s="119" t="s">
        <v>22</v>
      </c>
      <c r="H281" s="119" t="s">
        <v>32</v>
      </c>
      <c r="I281" s="11" t="s">
        <v>47</v>
      </c>
      <c r="J281" s="12" t="s">
        <v>25</v>
      </c>
      <c r="K281" s="12" t="s">
        <v>47</v>
      </c>
      <c r="L281" s="11" t="s">
        <v>48</v>
      </c>
      <c r="M281" s="116" t="s">
        <v>953</v>
      </c>
      <c r="N281" s="120" t="s">
        <v>954</v>
      </c>
    </row>
    <row r="282" ht="15.75" customHeight="1">
      <c r="A282" s="15"/>
      <c r="B282" s="14"/>
      <c r="C282" s="14"/>
      <c r="D282" s="14"/>
      <c r="E282" s="14"/>
      <c r="F282" s="14"/>
      <c r="G282" s="119" t="s">
        <v>22</v>
      </c>
      <c r="H282" s="12" t="s">
        <v>359</v>
      </c>
      <c r="I282" s="119" t="s">
        <v>47</v>
      </c>
      <c r="J282" s="14"/>
      <c r="K282" s="14"/>
      <c r="L282" s="11" t="s">
        <v>48</v>
      </c>
      <c r="M282" s="116" t="s">
        <v>955</v>
      </c>
      <c r="N282" s="14"/>
    </row>
    <row r="283" ht="15.75" customHeight="1">
      <c r="A283" s="121" t="s">
        <v>956</v>
      </c>
      <c r="B283" s="122" t="s">
        <v>957</v>
      </c>
      <c r="C283" s="122" t="s">
        <v>18</v>
      </c>
      <c r="D283" s="122" t="s">
        <v>653</v>
      </c>
      <c r="E283" s="122" t="s">
        <v>958</v>
      </c>
      <c r="F283" s="122" t="s">
        <v>952</v>
      </c>
      <c r="G283" s="122" t="s">
        <v>22</v>
      </c>
      <c r="H283" s="122" t="s">
        <v>32</v>
      </c>
      <c r="I283" s="11" t="s">
        <v>47</v>
      </c>
      <c r="J283" s="12" t="s">
        <v>25</v>
      </c>
      <c r="K283" s="12" t="s">
        <v>47</v>
      </c>
      <c r="L283" s="11" t="s">
        <v>48</v>
      </c>
      <c r="M283" s="122" t="s">
        <v>959</v>
      </c>
      <c r="N283" s="123" t="s">
        <v>960</v>
      </c>
    </row>
    <row r="284" ht="15.75" customHeight="1">
      <c r="A284" s="15"/>
      <c r="B284" s="14"/>
      <c r="C284" s="14"/>
      <c r="D284" s="14"/>
      <c r="E284" s="14"/>
      <c r="F284" s="14"/>
      <c r="G284" s="122" t="s">
        <v>22</v>
      </c>
      <c r="H284" s="12" t="s">
        <v>359</v>
      </c>
      <c r="I284" s="122" t="s">
        <v>47</v>
      </c>
      <c r="J284" s="14"/>
      <c r="K284" s="14"/>
      <c r="L284" s="11" t="s">
        <v>48</v>
      </c>
      <c r="M284" s="116" t="s">
        <v>961</v>
      </c>
      <c r="N284" s="14"/>
    </row>
    <row r="285" ht="15.75" customHeight="1">
      <c r="A285" s="124" t="s">
        <v>962</v>
      </c>
      <c r="B285" s="125" t="s">
        <v>963</v>
      </c>
      <c r="C285" s="125" t="s">
        <v>18</v>
      </c>
      <c r="D285" s="125" t="s">
        <v>964</v>
      </c>
      <c r="E285" s="125" t="s">
        <v>965</v>
      </c>
      <c r="F285" s="125" t="s">
        <v>952</v>
      </c>
      <c r="G285" s="125" t="s">
        <v>22</v>
      </c>
      <c r="H285" s="125" t="s">
        <v>32</v>
      </c>
      <c r="I285" s="47" t="s">
        <v>47</v>
      </c>
      <c r="J285" s="45" t="s">
        <v>25</v>
      </c>
      <c r="K285" s="45" t="s">
        <v>47</v>
      </c>
      <c r="L285" s="47" t="s">
        <v>48</v>
      </c>
      <c r="M285" s="125" t="s">
        <v>966</v>
      </c>
      <c r="N285" s="126" t="s">
        <v>967</v>
      </c>
      <c r="O285" s="51"/>
      <c r="P285" s="51"/>
      <c r="Q285" s="51"/>
      <c r="R285" s="51"/>
      <c r="S285" s="51"/>
      <c r="T285" s="51"/>
      <c r="U285" s="51"/>
      <c r="V285" s="51"/>
      <c r="W285" s="51"/>
      <c r="X285" s="51"/>
      <c r="Y285" s="51"/>
      <c r="Z285" s="51"/>
      <c r="AA285" s="51"/>
      <c r="AB285" s="51"/>
    </row>
    <row r="286" ht="15.75" customHeight="1">
      <c r="A286" s="15"/>
      <c r="B286" s="14"/>
      <c r="C286" s="14"/>
      <c r="D286" s="14"/>
      <c r="E286" s="14"/>
      <c r="F286" s="14"/>
      <c r="G286" s="125" t="s">
        <v>22</v>
      </c>
      <c r="H286" s="45" t="s">
        <v>359</v>
      </c>
      <c r="I286" s="125" t="s">
        <v>47</v>
      </c>
      <c r="J286" s="14"/>
      <c r="K286" s="14"/>
      <c r="L286" s="127" t="s">
        <v>48</v>
      </c>
      <c r="M286" s="125" t="s">
        <v>968</v>
      </c>
      <c r="N286" s="14"/>
      <c r="O286" s="51"/>
      <c r="P286" s="51"/>
      <c r="Q286" s="51"/>
      <c r="R286" s="51"/>
      <c r="S286" s="51"/>
      <c r="T286" s="51"/>
      <c r="U286" s="51"/>
      <c r="V286" s="51"/>
      <c r="W286" s="51"/>
      <c r="X286" s="51"/>
      <c r="Y286" s="51"/>
      <c r="Z286" s="51"/>
      <c r="AA286" s="51"/>
      <c r="AB286" s="51"/>
    </row>
    <row r="287" ht="15.75" customHeight="1">
      <c r="A287" s="121" t="s">
        <v>969</v>
      </c>
      <c r="B287" s="122" t="s">
        <v>970</v>
      </c>
      <c r="C287" s="122" t="s">
        <v>18</v>
      </c>
      <c r="D287" s="122" t="s">
        <v>251</v>
      </c>
      <c r="E287" s="122" t="s">
        <v>971</v>
      </c>
      <c r="F287" s="122" t="s">
        <v>574</v>
      </c>
      <c r="G287" s="116" t="s">
        <v>22</v>
      </c>
      <c r="H287" s="116" t="s">
        <v>32</v>
      </c>
      <c r="I287" s="11" t="s">
        <v>47</v>
      </c>
      <c r="J287" s="12" t="s">
        <v>25</v>
      </c>
      <c r="K287" s="12" t="s">
        <v>47</v>
      </c>
      <c r="L287" s="47" t="s">
        <v>48</v>
      </c>
      <c r="M287" s="128" t="s">
        <v>972</v>
      </c>
      <c r="N287" s="126" t="s">
        <v>973</v>
      </c>
    </row>
    <row r="288" ht="15.75" customHeight="1">
      <c r="A288" s="15"/>
      <c r="B288" s="14"/>
      <c r="C288" s="14"/>
      <c r="D288" s="14"/>
      <c r="E288" s="14"/>
      <c r="F288" s="14"/>
      <c r="G288" s="116" t="s">
        <v>22</v>
      </c>
      <c r="H288" s="12" t="s">
        <v>359</v>
      </c>
      <c r="I288" s="116" t="s">
        <v>47</v>
      </c>
      <c r="J288" s="14"/>
      <c r="K288" s="14"/>
      <c r="L288" s="47" t="s">
        <v>48</v>
      </c>
      <c r="M288" s="122" t="s">
        <v>974</v>
      </c>
      <c r="N288" s="14"/>
    </row>
    <row r="289" ht="15.75" customHeight="1">
      <c r="A289" s="129" t="s">
        <v>975</v>
      </c>
      <c r="B289" s="130" t="s">
        <v>976</v>
      </c>
      <c r="C289" s="131" t="s">
        <v>18</v>
      </c>
      <c r="D289" s="130" t="s">
        <v>666</v>
      </c>
      <c r="E289" s="130" t="s">
        <v>977</v>
      </c>
      <c r="F289" s="130" t="s">
        <v>574</v>
      </c>
      <c r="G289" s="132" t="s">
        <v>22</v>
      </c>
      <c r="H289" s="132" t="s">
        <v>32</v>
      </c>
      <c r="I289" s="101" t="s">
        <v>24</v>
      </c>
      <c r="J289" s="101" t="s">
        <v>25</v>
      </c>
      <c r="K289" s="101" t="s">
        <v>24</v>
      </c>
      <c r="L289" s="95" t="s">
        <v>97</v>
      </c>
      <c r="M289" s="95" t="s">
        <v>978</v>
      </c>
      <c r="N289" s="99" t="s">
        <v>979</v>
      </c>
      <c r="O289" s="133"/>
      <c r="P289" s="133"/>
      <c r="Q289" s="133"/>
      <c r="R289" s="133"/>
      <c r="S289" s="133"/>
      <c r="T289" s="134"/>
      <c r="U289" s="133"/>
      <c r="V289" s="133"/>
      <c r="W289" s="133"/>
      <c r="X289" s="133"/>
      <c r="Y289" s="133"/>
      <c r="Z289" s="133"/>
      <c r="AA289" s="133"/>
      <c r="AB289" s="133"/>
    </row>
    <row r="290" ht="15.75" customHeight="1">
      <c r="A290" s="15"/>
      <c r="B290" s="14"/>
      <c r="C290" s="14"/>
      <c r="D290" s="14"/>
      <c r="E290" s="14"/>
      <c r="F290" s="14"/>
      <c r="G290" s="132" t="s">
        <v>22</v>
      </c>
      <c r="H290" s="135" t="s">
        <v>359</v>
      </c>
      <c r="I290" s="130" t="s">
        <v>24</v>
      </c>
      <c r="J290" s="14"/>
      <c r="K290" s="14"/>
      <c r="L290" s="95" t="s">
        <v>97</v>
      </c>
      <c r="M290" s="96" t="s">
        <v>980</v>
      </c>
      <c r="N290" s="14"/>
      <c r="O290" s="133"/>
      <c r="P290" s="133"/>
      <c r="Q290" s="133"/>
      <c r="R290" s="133"/>
      <c r="S290" s="133"/>
      <c r="T290" s="133"/>
      <c r="U290" s="133"/>
      <c r="V290" s="133"/>
      <c r="W290" s="133"/>
      <c r="X290" s="133"/>
      <c r="Y290" s="133"/>
      <c r="Z290" s="133"/>
      <c r="AA290" s="133"/>
      <c r="AB290" s="133"/>
    </row>
    <row r="291" ht="15.75" customHeight="1">
      <c r="A291" s="121" t="s">
        <v>981</v>
      </c>
      <c r="B291" s="122" t="s">
        <v>982</v>
      </c>
      <c r="C291" s="122" t="s">
        <v>18</v>
      </c>
      <c r="D291" s="122" t="s">
        <v>201</v>
      </c>
      <c r="E291" s="122" t="s">
        <v>983</v>
      </c>
      <c r="F291" s="136">
        <v>46057.0</v>
      </c>
      <c r="G291" s="116" t="s">
        <v>22</v>
      </c>
      <c r="H291" s="116" t="s">
        <v>32</v>
      </c>
      <c r="I291" s="11" t="s">
        <v>47</v>
      </c>
      <c r="J291" s="12" t="s">
        <v>25</v>
      </c>
      <c r="K291" s="12" t="s">
        <v>47</v>
      </c>
      <c r="L291" s="47" t="s">
        <v>48</v>
      </c>
      <c r="M291" s="128" t="s">
        <v>984</v>
      </c>
      <c r="N291" s="137" t="s">
        <v>985</v>
      </c>
    </row>
    <row r="292" ht="15.75" customHeight="1">
      <c r="A292" s="15"/>
      <c r="B292" s="14"/>
      <c r="C292" s="14"/>
      <c r="D292" s="14"/>
      <c r="E292" s="14"/>
      <c r="F292" s="14"/>
      <c r="G292" s="116" t="s">
        <v>22</v>
      </c>
      <c r="H292" s="12" t="s">
        <v>359</v>
      </c>
      <c r="I292" s="116" t="s">
        <v>47</v>
      </c>
      <c r="J292" s="14"/>
      <c r="K292" s="14"/>
      <c r="L292" s="47" t="s">
        <v>48</v>
      </c>
      <c r="M292" s="122" t="s">
        <v>986</v>
      </c>
      <c r="N292" s="14"/>
    </row>
    <row r="293" ht="15.0" customHeight="1">
      <c r="A293" s="121" t="s">
        <v>987</v>
      </c>
      <c r="B293" s="122" t="s">
        <v>988</v>
      </c>
      <c r="C293" s="122" t="s">
        <v>18</v>
      </c>
      <c r="D293" s="122" t="s">
        <v>128</v>
      </c>
      <c r="E293" s="122" t="s">
        <v>989</v>
      </c>
      <c r="F293" s="136">
        <v>46057.0</v>
      </c>
      <c r="G293" s="116" t="s">
        <v>22</v>
      </c>
      <c r="H293" s="116" t="s">
        <v>32</v>
      </c>
      <c r="I293" s="11" t="s">
        <v>47</v>
      </c>
      <c r="J293" s="12" t="s">
        <v>25</v>
      </c>
      <c r="K293" s="12" t="s">
        <v>47</v>
      </c>
      <c r="L293" s="47" t="s">
        <v>48</v>
      </c>
      <c r="M293" s="128" t="s">
        <v>990</v>
      </c>
      <c r="N293" s="137" t="s">
        <v>991</v>
      </c>
    </row>
    <row r="294" ht="15.75" customHeight="1">
      <c r="A294" s="15"/>
      <c r="B294" s="14"/>
      <c r="C294" s="14"/>
      <c r="D294" s="14"/>
      <c r="E294" s="14"/>
      <c r="F294" s="14"/>
      <c r="G294" s="116" t="s">
        <v>22</v>
      </c>
      <c r="H294" s="12" t="s">
        <v>359</v>
      </c>
      <c r="I294" s="116" t="s">
        <v>47</v>
      </c>
      <c r="J294" s="14"/>
      <c r="K294" s="14"/>
      <c r="L294" s="47" t="s">
        <v>48</v>
      </c>
      <c r="M294" s="122" t="s">
        <v>992</v>
      </c>
      <c r="N294" s="14"/>
    </row>
    <row r="295" ht="15.0" customHeight="1">
      <c r="A295" s="121" t="s">
        <v>993</v>
      </c>
      <c r="B295" s="122" t="s">
        <v>994</v>
      </c>
      <c r="C295" s="122" t="s">
        <v>18</v>
      </c>
      <c r="D295" s="122" t="s">
        <v>251</v>
      </c>
      <c r="E295" s="122" t="s">
        <v>995</v>
      </c>
      <c r="F295" s="136">
        <v>46057.0</v>
      </c>
      <c r="G295" s="116" t="s">
        <v>22</v>
      </c>
      <c r="H295" s="116" t="s">
        <v>32</v>
      </c>
      <c r="I295" s="11" t="s">
        <v>47</v>
      </c>
      <c r="J295" s="12" t="s">
        <v>25</v>
      </c>
      <c r="K295" s="12" t="s">
        <v>47</v>
      </c>
      <c r="L295" s="47" t="s">
        <v>48</v>
      </c>
      <c r="M295" s="128" t="s">
        <v>996</v>
      </c>
      <c r="N295" s="137" t="s">
        <v>997</v>
      </c>
    </row>
    <row r="296" ht="15.75" customHeight="1">
      <c r="A296" s="15"/>
      <c r="B296" s="14"/>
      <c r="C296" s="14"/>
      <c r="D296" s="14"/>
      <c r="E296" s="14"/>
      <c r="F296" s="14"/>
      <c r="G296" s="116" t="s">
        <v>22</v>
      </c>
      <c r="H296" s="12" t="s">
        <v>359</v>
      </c>
      <c r="I296" s="116" t="s">
        <v>47</v>
      </c>
      <c r="J296" s="14"/>
      <c r="K296" s="14"/>
      <c r="L296" s="47" t="s">
        <v>48</v>
      </c>
      <c r="M296" s="122" t="s">
        <v>998</v>
      </c>
      <c r="N296" s="14"/>
    </row>
    <row r="297" ht="15.0" customHeight="1">
      <c r="A297" s="121" t="s">
        <v>999</v>
      </c>
      <c r="B297" s="122" t="s">
        <v>1000</v>
      </c>
      <c r="C297" s="122" t="s">
        <v>18</v>
      </c>
      <c r="D297" s="122" t="s">
        <v>1001</v>
      </c>
      <c r="E297" s="122" t="s">
        <v>1002</v>
      </c>
      <c r="F297" s="136">
        <v>46057.0</v>
      </c>
      <c r="G297" s="116" t="s">
        <v>22</v>
      </c>
      <c r="H297" s="116" t="s">
        <v>32</v>
      </c>
      <c r="I297" s="11" t="s">
        <v>47</v>
      </c>
      <c r="J297" s="12" t="s">
        <v>25</v>
      </c>
      <c r="K297" s="12" t="s">
        <v>47</v>
      </c>
      <c r="L297" s="47" t="s">
        <v>48</v>
      </c>
      <c r="M297" s="128" t="s">
        <v>1003</v>
      </c>
      <c r="N297" s="137" t="s">
        <v>1004</v>
      </c>
    </row>
    <row r="298" ht="15.75" customHeight="1">
      <c r="A298" s="15"/>
      <c r="B298" s="14"/>
      <c r="C298" s="14"/>
      <c r="D298" s="14"/>
      <c r="E298" s="14"/>
      <c r="F298" s="14"/>
      <c r="G298" s="116" t="s">
        <v>22</v>
      </c>
      <c r="H298" s="12" t="s">
        <v>359</v>
      </c>
      <c r="I298" s="116" t="s">
        <v>47</v>
      </c>
      <c r="J298" s="14"/>
      <c r="K298" s="14"/>
      <c r="L298" s="47" t="s">
        <v>48</v>
      </c>
      <c r="M298" s="122" t="s">
        <v>1005</v>
      </c>
      <c r="N298" s="14"/>
    </row>
    <row r="299" ht="15.0" customHeight="1">
      <c r="A299" s="121" t="s">
        <v>1006</v>
      </c>
      <c r="B299" s="122" t="s">
        <v>1007</v>
      </c>
      <c r="C299" s="122" t="s">
        <v>18</v>
      </c>
      <c r="D299" s="122" t="s">
        <v>128</v>
      </c>
      <c r="E299" s="122" t="s">
        <v>1008</v>
      </c>
      <c r="F299" s="136">
        <v>46057.0</v>
      </c>
      <c r="G299" s="116" t="s">
        <v>22</v>
      </c>
      <c r="H299" s="116" t="s">
        <v>32</v>
      </c>
      <c r="I299" s="12" t="s">
        <v>24</v>
      </c>
      <c r="J299" s="12" t="s">
        <v>25</v>
      </c>
      <c r="K299" s="12" t="s">
        <v>24</v>
      </c>
      <c r="L299" s="45" t="s">
        <v>163</v>
      </c>
      <c r="M299" s="128" t="s">
        <v>1009</v>
      </c>
      <c r="N299" s="137" t="s">
        <v>1010</v>
      </c>
    </row>
    <row r="300" ht="15.75" customHeight="1">
      <c r="A300" s="15"/>
      <c r="B300" s="14"/>
      <c r="C300" s="14"/>
      <c r="D300" s="14"/>
      <c r="E300" s="14"/>
      <c r="F300" s="14"/>
      <c r="G300" s="116" t="s">
        <v>22</v>
      </c>
      <c r="H300" s="12" t="s">
        <v>359</v>
      </c>
      <c r="I300" s="116" t="s">
        <v>24</v>
      </c>
      <c r="J300" s="14"/>
      <c r="K300" s="14"/>
      <c r="L300" s="45" t="s">
        <v>163</v>
      </c>
      <c r="M300" s="122" t="s">
        <v>1011</v>
      </c>
      <c r="N300" s="14"/>
    </row>
    <row r="301" ht="15.0" customHeight="1">
      <c r="A301" s="121" t="s">
        <v>1012</v>
      </c>
      <c r="B301" s="122" t="s">
        <v>1013</v>
      </c>
      <c r="C301" s="122" t="s">
        <v>18</v>
      </c>
      <c r="D301" s="122" t="s">
        <v>128</v>
      </c>
      <c r="E301" s="122" t="s">
        <v>1014</v>
      </c>
      <c r="F301" s="136">
        <v>46057.0</v>
      </c>
      <c r="G301" s="116" t="s">
        <v>22</v>
      </c>
      <c r="H301" s="116" t="s">
        <v>32</v>
      </c>
      <c r="I301" s="11" t="s">
        <v>47</v>
      </c>
      <c r="J301" s="12" t="s">
        <v>25</v>
      </c>
      <c r="K301" s="12" t="s">
        <v>47</v>
      </c>
      <c r="L301" s="47" t="s">
        <v>48</v>
      </c>
      <c r="M301" s="128" t="s">
        <v>1015</v>
      </c>
      <c r="N301" s="137" t="s">
        <v>1016</v>
      </c>
    </row>
    <row r="302" ht="15.75" customHeight="1">
      <c r="A302" s="15"/>
      <c r="B302" s="14"/>
      <c r="C302" s="14"/>
      <c r="D302" s="14"/>
      <c r="E302" s="14"/>
      <c r="F302" s="14"/>
      <c r="G302" s="116" t="s">
        <v>22</v>
      </c>
      <c r="H302" s="12" t="s">
        <v>359</v>
      </c>
      <c r="I302" s="116" t="s">
        <v>47</v>
      </c>
      <c r="J302" s="14"/>
      <c r="K302" s="14"/>
      <c r="L302" s="47" t="s">
        <v>48</v>
      </c>
      <c r="M302" s="122" t="s">
        <v>1017</v>
      </c>
      <c r="N302" s="14"/>
    </row>
    <row r="303" ht="15.0" customHeight="1">
      <c r="A303" s="121" t="s">
        <v>1018</v>
      </c>
      <c r="B303" s="122" t="s">
        <v>1019</v>
      </c>
      <c r="C303" s="122" t="s">
        <v>1020</v>
      </c>
      <c r="D303" s="122" t="s">
        <v>1021</v>
      </c>
      <c r="E303" s="122" t="s">
        <v>1022</v>
      </c>
      <c r="F303" s="136">
        <v>46057.0</v>
      </c>
      <c r="G303" s="116" t="s">
        <v>22</v>
      </c>
      <c r="H303" s="116" t="s">
        <v>32</v>
      </c>
      <c r="I303" s="12" t="s">
        <v>24</v>
      </c>
      <c r="J303" s="12" t="s">
        <v>25</v>
      </c>
      <c r="K303" s="12" t="s">
        <v>24</v>
      </c>
      <c r="L303" s="45" t="s">
        <v>104</v>
      </c>
      <c r="M303" s="128" t="s">
        <v>1023</v>
      </c>
      <c r="N303" s="137" t="s">
        <v>1024</v>
      </c>
    </row>
    <row r="304" ht="15.75" customHeight="1">
      <c r="A304" s="15"/>
      <c r="B304" s="14"/>
      <c r="C304" s="14"/>
      <c r="D304" s="14"/>
      <c r="E304" s="14"/>
      <c r="F304" s="14"/>
      <c r="G304" s="116" t="s">
        <v>22</v>
      </c>
      <c r="H304" s="12" t="s">
        <v>359</v>
      </c>
      <c r="I304" s="116" t="s">
        <v>24</v>
      </c>
      <c r="J304" s="14"/>
      <c r="K304" s="14"/>
      <c r="L304" s="45" t="s">
        <v>163</v>
      </c>
      <c r="M304" s="122" t="s">
        <v>1025</v>
      </c>
      <c r="N304" s="14"/>
    </row>
    <row r="305" ht="15.0" customHeight="1">
      <c r="A305" s="121" t="s">
        <v>1026</v>
      </c>
      <c r="B305" s="122" t="s">
        <v>1027</v>
      </c>
      <c r="C305" s="122" t="s">
        <v>1020</v>
      </c>
      <c r="D305" s="122" t="s">
        <v>1028</v>
      </c>
      <c r="E305" s="122" t="s">
        <v>1029</v>
      </c>
      <c r="F305" s="136">
        <v>46057.0</v>
      </c>
      <c r="G305" s="116" t="s">
        <v>22</v>
      </c>
      <c r="H305" s="116" t="s">
        <v>32</v>
      </c>
      <c r="I305" s="12" t="s">
        <v>47</v>
      </c>
      <c r="J305" s="12" t="s">
        <v>25</v>
      </c>
      <c r="K305" s="12" t="s">
        <v>47</v>
      </c>
      <c r="L305" s="45" t="s">
        <v>48</v>
      </c>
      <c r="M305" s="128" t="s">
        <v>1030</v>
      </c>
      <c r="N305" s="137" t="s">
        <v>1031</v>
      </c>
    </row>
    <row r="306" ht="15.75" customHeight="1">
      <c r="A306" s="15"/>
      <c r="B306" s="14"/>
      <c r="C306" s="14"/>
      <c r="D306" s="14"/>
      <c r="E306" s="14"/>
      <c r="F306" s="14"/>
      <c r="G306" s="116" t="s">
        <v>22</v>
      </c>
      <c r="H306" s="12" t="s">
        <v>359</v>
      </c>
      <c r="I306" s="116" t="s">
        <v>47</v>
      </c>
      <c r="J306" s="14"/>
      <c r="K306" s="14"/>
      <c r="L306" s="45" t="s">
        <v>48</v>
      </c>
      <c r="M306" s="122" t="s">
        <v>1032</v>
      </c>
      <c r="N306" s="14"/>
    </row>
    <row r="307" ht="15.0" customHeight="1">
      <c r="A307" s="121" t="s">
        <v>1018</v>
      </c>
      <c r="B307" s="122" t="s">
        <v>1033</v>
      </c>
      <c r="C307" s="122" t="s">
        <v>1020</v>
      </c>
      <c r="D307" s="122" t="s">
        <v>128</v>
      </c>
      <c r="E307" s="122" t="s">
        <v>1022</v>
      </c>
      <c r="F307" s="136">
        <v>46057.0</v>
      </c>
      <c r="G307" s="116" t="s">
        <v>22</v>
      </c>
      <c r="H307" s="116" t="s">
        <v>32</v>
      </c>
      <c r="I307" s="12" t="s">
        <v>24</v>
      </c>
      <c r="J307" s="12" t="s">
        <v>25</v>
      </c>
      <c r="K307" s="12" t="s">
        <v>24</v>
      </c>
      <c r="L307" s="45" t="s">
        <v>104</v>
      </c>
      <c r="M307" s="128" t="s">
        <v>1034</v>
      </c>
      <c r="N307" s="137" t="s">
        <v>1035</v>
      </c>
    </row>
    <row r="308" ht="15.75" customHeight="1">
      <c r="A308" s="43"/>
      <c r="B308" s="29"/>
      <c r="C308" s="29"/>
      <c r="D308" s="29"/>
      <c r="E308" s="29"/>
      <c r="F308" s="29"/>
      <c r="G308" s="138" t="s">
        <v>22</v>
      </c>
      <c r="H308" s="31" t="s">
        <v>359</v>
      </c>
      <c r="I308" s="138" t="s">
        <v>24</v>
      </c>
      <c r="J308" s="29"/>
      <c r="K308" s="29"/>
      <c r="L308" s="53" t="s">
        <v>104</v>
      </c>
      <c r="M308" s="139" t="s">
        <v>1036</v>
      </c>
      <c r="N308" s="29"/>
    </row>
    <row r="309" ht="15.75" customHeight="1">
      <c r="A309" s="140"/>
      <c r="B309" s="140"/>
      <c r="C309" s="140"/>
      <c r="D309" s="140"/>
      <c r="E309" s="140"/>
      <c r="F309" s="140"/>
      <c r="J309" s="140"/>
      <c r="K309" s="140"/>
      <c r="L309" s="140"/>
      <c r="M309" s="140"/>
      <c r="N309" s="140"/>
    </row>
    <row r="310" ht="15.75" customHeight="1">
      <c r="A310" s="141"/>
      <c r="B310" s="141"/>
      <c r="C310" s="141"/>
      <c r="D310" s="141"/>
      <c r="E310" s="141"/>
      <c r="F310" s="142"/>
      <c r="J310" s="140"/>
      <c r="K310" s="140"/>
      <c r="L310" s="141"/>
      <c r="M310" s="141"/>
      <c r="N310" s="141"/>
    </row>
    <row r="311" ht="15.75" customHeight="1">
      <c r="A311" s="141"/>
      <c r="B311" s="141"/>
      <c r="C311" s="141"/>
      <c r="D311" s="141"/>
      <c r="E311" s="141"/>
      <c r="F311" s="142"/>
      <c r="J311" s="140"/>
      <c r="K311" s="140"/>
      <c r="L311" s="141"/>
      <c r="M311" s="141"/>
      <c r="N311" s="141"/>
    </row>
    <row r="312" ht="15.75" customHeight="1">
      <c r="A312" s="140"/>
      <c r="B312" s="140"/>
      <c r="C312" s="140"/>
      <c r="D312" s="140"/>
      <c r="E312" s="140"/>
      <c r="F312" s="140"/>
      <c r="J312" s="140"/>
      <c r="K312" s="140"/>
      <c r="L312" s="140"/>
      <c r="M312" s="140"/>
      <c r="N312" s="140"/>
    </row>
    <row r="313" ht="15.75" customHeight="1">
      <c r="A313" s="140"/>
      <c r="B313" s="140"/>
      <c r="C313" s="140"/>
      <c r="D313" s="140"/>
      <c r="E313" s="140"/>
      <c r="F313" s="140"/>
      <c r="J313" s="140"/>
      <c r="K313" s="140"/>
      <c r="L313" s="140"/>
      <c r="M313" s="140"/>
      <c r="N313" s="140"/>
    </row>
    <row r="314" ht="15.75" customHeight="1">
      <c r="A314" s="140"/>
      <c r="B314" s="140"/>
      <c r="C314" s="140"/>
      <c r="D314" s="140"/>
      <c r="E314" s="140"/>
      <c r="F314" s="140"/>
      <c r="J314" s="140"/>
      <c r="K314" s="140"/>
      <c r="L314" s="140"/>
      <c r="M314" s="140"/>
      <c r="N314" s="140"/>
    </row>
    <row r="315" ht="15.75" customHeight="1">
      <c r="A315" s="140"/>
      <c r="B315" s="140"/>
      <c r="C315" s="140"/>
      <c r="D315" s="140"/>
      <c r="E315" s="140"/>
      <c r="F315" s="140"/>
      <c r="J315" s="140"/>
      <c r="K315" s="140"/>
      <c r="L315" s="140"/>
      <c r="M315" s="140"/>
      <c r="N315" s="140"/>
    </row>
    <row r="316" ht="15.75" customHeight="1">
      <c r="A316" s="140"/>
      <c r="B316" s="140"/>
      <c r="C316" s="140"/>
      <c r="D316" s="140"/>
      <c r="E316" s="140"/>
      <c r="F316" s="140"/>
      <c r="J316" s="140"/>
      <c r="K316" s="140"/>
      <c r="L316" s="140"/>
      <c r="M316" s="140"/>
      <c r="N316" s="140"/>
    </row>
    <row r="317" ht="15.75" customHeight="1">
      <c r="A317" s="140"/>
      <c r="B317" s="140"/>
      <c r="C317" s="140"/>
      <c r="D317" s="140"/>
      <c r="E317" s="140"/>
      <c r="F317" s="140"/>
      <c r="J317" s="140"/>
      <c r="K317" s="140"/>
      <c r="L317" s="140"/>
      <c r="M317" s="140"/>
      <c r="N317" s="140"/>
    </row>
    <row r="318" ht="15.75" customHeight="1">
      <c r="A318" s="140"/>
      <c r="B318" s="140"/>
      <c r="C318" s="140"/>
      <c r="D318" s="140"/>
      <c r="E318" s="140"/>
      <c r="F318" s="140"/>
      <c r="J318" s="140"/>
      <c r="K318" s="140"/>
      <c r="L318" s="140"/>
      <c r="M318" s="140"/>
      <c r="N318" s="140"/>
    </row>
    <row r="319" ht="15.75" customHeight="1">
      <c r="A319" s="140"/>
      <c r="B319" s="140"/>
      <c r="C319" s="140"/>
      <c r="D319" s="140"/>
      <c r="E319" s="140"/>
      <c r="F319" s="140"/>
      <c r="J319" s="140"/>
      <c r="K319" s="140"/>
      <c r="L319" s="140"/>
      <c r="M319" s="140"/>
      <c r="N319" s="140"/>
    </row>
    <row r="320" ht="15.75" customHeight="1">
      <c r="A320" s="140"/>
      <c r="B320" s="140"/>
      <c r="C320" s="140"/>
      <c r="D320" s="140"/>
      <c r="E320" s="140"/>
      <c r="F320" s="140"/>
      <c r="J320" s="140"/>
      <c r="K320" s="140"/>
      <c r="L320" s="140"/>
      <c r="M320" s="140"/>
      <c r="N320" s="140"/>
    </row>
    <row r="321" ht="15.75" customHeight="1">
      <c r="A321" s="140"/>
      <c r="B321" s="140"/>
      <c r="C321" s="140"/>
      <c r="D321" s="140"/>
      <c r="E321" s="140"/>
      <c r="F321" s="140"/>
      <c r="J321" s="140"/>
      <c r="K321" s="140"/>
      <c r="L321" s="140"/>
      <c r="M321" s="140"/>
      <c r="N321" s="140"/>
    </row>
    <row r="322" ht="15.75" customHeight="1">
      <c r="A322" s="140"/>
      <c r="B322" s="140"/>
      <c r="C322" s="140"/>
      <c r="D322" s="140"/>
      <c r="E322" s="140"/>
      <c r="F322" s="140"/>
      <c r="J322" s="140"/>
      <c r="K322" s="140"/>
      <c r="L322" s="140"/>
      <c r="M322" s="140"/>
      <c r="N322" s="140"/>
    </row>
    <row r="323" ht="15.75" customHeight="1">
      <c r="A323" s="140"/>
      <c r="B323" s="140"/>
      <c r="C323" s="140"/>
      <c r="D323" s="140"/>
      <c r="E323" s="140"/>
      <c r="F323" s="140"/>
      <c r="J323" s="140"/>
      <c r="K323" s="140"/>
      <c r="L323" s="140"/>
      <c r="M323" s="140"/>
      <c r="N323" s="140"/>
    </row>
    <row r="324" ht="15.75" customHeight="1">
      <c r="A324" s="140"/>
      <c r="B324" s="140"/>
      <c r="C324" s="140"/>
      <c r="D324" s="140"/>
      <c r="E324" s="140"/>
      <c r="F324" s="140"/>
      <c r="J324" s="140"/>
      <c r="K324" s="140"/>
      <c r="L324" s="140"/>
      <c r="M324" s="140"/>
      <c r="N324" s="140"/>
    </row>
    <row r="325" ht="15.75" customHeight="1">
      <c r="A325" s="140"/>
      <c r="B325" s="140"/>
      <c r="C325" s="140"/>
      <c r="D325" s="140"/>
      <c r="E325" s="140"/>
      <c r="F325" s="140"/>
      <c r="J325" s="140"/>
      <c r="K325" s="140"/>
      <c r="L325" s="140"/>
      <c r="M325" s="140"/>
      <c r="N325" s="140"/>
    </row>
    <row r="326" ht="15.75" customHeight="1">
      <c r="A326" s="140"/>
      <c r="B326" s="140"/>
      <c r="C326" s="140"/>
      <c r="D326" s="140"/>
      <c r="E326" s="140"/>
      <c r="F326" s="140"/>
      <c r="J326" s="140"/>
      <c r="K326" s="140"/>
      <c r="L326" s="140"/>
      <c r="M326" s="140"/>
      <c r="N326" s="140"/>
    </row>
    <row r="327" ht="15.75" customHeight="1">
      <c r="A327" s="140"/>
      <c r="B327" s="140"/>
      <c r="C327" s="140"/>
      <c r="D327" s="140"/>
      <c r="E327" s="140"/>
      <c r="F327" s="140"/>
      <c r="J327" s="140"/>
      <c r="K327" s="140"/>
      <c r="L327" s="140"/>
      <c r="M327" s="140"/>
      <c r="N327" s="140"/>
    </row>
    <row r="328" ht="15.75" customHeight="1">
      <c r="A328" s="140"/>
      <c r="B328" s="140"/>
      <c r="C328" s="140"/>
      <c r="D328" s="140"/>
      <c r="E328" s="140"/>
      <c r="F328" s="140"/>
      <c r="J328" s="140"/>
      <c r="K328" s="140"/>
      <c r="L328" s="140"/>
      <c r="M328" s="140"/>
      <c r="N328" s="140"/>
    </row>
    <row r="329" ht="15.75" customHeight="1">
      <c r="A329" s="140"/>
      <c r="B329" s="140"/>
      <c r="C329" s="140"/>
      <c r="D329" s="140"/>
      <c r="E329" s="140"/>
      <c r="F329" s="140"/>
      <c r="J329" s="140"/>
      <c r="K329" s="140"/>
      <c r="L329" s="140"/>
      <c r="M329" s="140"/>
      <c r="N329" s="140"/>
    </row>
    <row r="330" ht="15.75" customHeight="1">
      <c r="A330" s="140"/>
      <c r="B330" s="140"/>
      <c r="C330" s="140"/>
      <c r="D330" s="140"/>
      <c r="E330" s="140"/>
      <c r="F330" s="140"/>
      <c r="J330" s="140"/>
      <c r="K330" s="140"/>
      <c r="L330" s="140"/>
      <c r="M330" s="140"/>
      <c r="N330" s="140"/>
    </row>
    <row r="331" ht="15.75" customHeight="1">
      <c r="A331" s="140"/>
      <c r="B331" s="140"/>
      <c r="C331" s="140"/>
      <c r="D331" s="140"/>
      <c r="E331" s="140"/>
      <c r="F331" s="140"/>
      <c r="J331" s="140"/>
      <c r="K331" s="140"/>
      <c r="L331" s="140"/>
      <c r="M331" s="140"/>
      <c r="N331" s="140"/>
    </row>
    <row r="332" ht="15.75" customHeight="1">
      <c r="A332" s="140"/>
      <c r="B332" s="140"/>
      <c r="C332" s="140"/>
      <c r="D332" s="140"/>
      <c r="E332" s="140"/>
      <c r="F332" s="140"/>
      <c r="J332" s="140"/>
      <c r="K332" s="140"/>
      <c r="L332" s="140"/>
      <c r="M332" s="140"/>
      <c r="N332" s="140"/>
    </row>
    <row r="333" ht="15.75" customHeight="1">
      <c r="A333" s="140"/>
      <c r="B333" s="140"/>
      <c r="C333" s="140"/>
      <c r="D333" s="140"/>
      <c r="E333" s="140"/>
      <c r="F333" s="140"/>
      <c r="J333" s="140"/>
      <c r="K333" s="140"/>
      <c r="L333" s="140"/>
      <c r="M333" s="140"/>
      <c r="N333" s="140"/>
    </row>
    <row r="334" ht="15.75" customHeight="1">
      <c r="A334" s="140"/>
      <c r="B334" s="140"/>
      <c r="C334" s="140"/>
      <c r="D334" s="140"/>
      <c r="E334" s="140"/>
      <c r="F334" s="140"/>
      <c r="J334" s="140"/>
      <c r="K334" s="140"/>
      <c r="L334" s="140"/>
      <c r="M334" s="140"/>
      <c r="N334" s="140"/>
    </row>
    <row r="335" ht="15.75" customHeight="1">
      <c r="A335" s="140"/>
      <c r="B335" s="140"/>
      <c r="C335" s="140"/>
      <c r="D335" s="140"/>
      <c r="E335" s="140"/>
      <c r="F335" s="140"/>
      <c r="J335" s="140"/>
      <c r="K335" s="140"/>
      <c r="L335" s="140"/>
      <c r="M335" s="140"/>
      <c r="N335" s="140"/>
    </row>
    <row r="336" ht="15.75" customHeight="1">
      <c r="A336" s="140"/>
      <c r="B336" s="140"/>
      <c r="C336" s="140"/>
      <c r="D336" s="140"/>
      <c r="E336" s="140"/>
      <c r="F336" s="140"/>
      <c r="J336" s="140"/>
      <c r="K336" s="140"/>
      <c r="L336" s="140"/>
      <c r="M336" s="140"/>
      <c r="N336" s="140"/>
    </row>
    <row r="337" ht="15.75" customHeight="1">
      <c r="A337" s="140"/>
      <c r="B337" s="140"/>
      <c r="C337" s="140"/>
      <c r="D337" s="140"/>
      <c r="E337" s="140"/>
      <c r="F337" s="140"/>
      <c r="J337" s="140"/>
      <c r="K337" s="140"/>
      <c r="L337" s="140"/>
      <c r="M337" s="140"/>
      <c r="N337" s="140"/>
    </row>
    <row r="338" ht="15.75" customHeight="1">
      <c r="A338" s="140"/>
      <c r="B338" s="140"/>
      <c r="C338" s="140"/>
      <c r="D338" s="140"/>
      <c r="E338" s="140"/>
      <c r="F338" s="140"/>
      <c r="J338" s="140"/>
      <c r="K338" s="140"/>
      <c r="L338" s="140"/>
      <c r="M338" s="140"/>
      <c r="N338" s="140"/>
    </row>
    <row r="339" ht="15.75" customHeight="1">
      <c r="A339" s="140"/>
      <c r="B339" s="140"/>
      <c r="C339" s="140"/>
      <c r="D339" s="140"/>
      <c r="E339" s="140"/>
      <c r="F339" s="140"/>
      <c r="J339" s="140"/>
      <c r="K339" s="140"/>
      <c r="L339" s="140"/>
      <c r="M339" s="140"/>
      <c r="N339" s="140"/>
    </row>
    <row r="340" ht="15.75" customHeight="1">
      <c r="A340" s="140"/>
      <c r="B340" s="140"/>
      <c r="C340" s="140"/>
      <c r="D340" s="140"/>
      <c r="E340" s="140"/>
      <c r="F340" s="140"/>
      <c r="J340" s="140"/>
      <c r="K340" s="140"/>
      <c r="L340" s="140"/>
      <c r="M340" s="140"/>
      <c r="N340" s="140"/>
    </row>
    <row r="341" ht="15.75" customHeight="1">
      <c r="A341" s="140"/>
      <c r="B341" s="140"/>
      <c r="C341" s="140"/>
      <c r="D341" s="140"/>
      <c r="E341" s="140"/>
      <c r="F341" s="140"/>
      <c r="J341" s="140"/>
      <c r="K341" s="140"/>
      <c r="L341" s="140"/>
      <c r="M341" s="140"/>
      <c r="N341" s="140"/>
    </row>
    <row r="342" ht="15.75" customHeight="1">
      <c r="A342" s="140"/>
      <c r="B342" s="140"/>
      <c r="C342" s="140"/>
      <c r="D342" s="140"/>
      <c r="E342" s="140"/>
      <c r="F342" s="140"/>
      <c r="J342" s="140"/>
      <c r="K342" s="140"/>
      <c r="L342" s="140"/>
      <c r="M342" s="140"/>
      <c r="N342" s="140"/>
    </row>
    <row r="343" ht="15.75" customHeight="1">
      <c r="A343" s="140"/>
      <c r="B343" s="140"/>
      <c r="C343" s="140"/>
      <c r="D343" s="140"/>
      <c r="E343" s="140"/>
      <c r="F343" s="140"/>
      <c r="J343" s="140"/>
      <c r="K343" s="140"/>
      <c r="L343" s="140"/>
      <c r="M343" s="140"/>
      <c r="N343" s="140"/>
    </row>
    <row r="344" ht="15.75" customHeight="1">
      <c r="A344" s="140"/>
      <c r="B344" s="140"/>
      <c r="C344" s="140"/>
      <c r="D344" s="140"/>
      <c r="E344" s="140"/>
      <c r="F344" s="140"/>
      <c r="J344" s="140"/>
      <c r="K344" s="140"/>
      <c r="L344" s="140"/>
      <c r="M344" s="140"/>
      <c r="N344" s="140"/>
    </row>
    <row r="345" ht="15.75" customHeight="1">
      <c r="A345" s="140"/>
      <c r="B345" s="140"/>
      <c r="C345" s="140"/>
      <c r="D345" s="140"/>
      <c r="E345" s="140"/>
      <c r="F345" s="140"/>
      <c r="J345" s="140"/>
      <c r="K345" s="140"/>
      <c r="L345" s="140"/>
      <c r="M345" s="140"/>
      <c r="N345" s="140"/>
    </row>
    <row r="346" ht="15.75" customHeight="1">
      <c r="A346" s="140"/>
      <c r="B346" s="140"/>
      <c r="C346" s="140"/>
      <c r="D346" s="140"/>
      <c r="E346" s="140"/>
      <c r="F346" s="140"/>
      <c r="J346" s="140"/>
      <c r="K346" s="140"/>
      <c r="L346" s="140"/>
      <c r="M346" s="140"/>
      <c r="N346" s="140"/>
    </row>
    <row r="347" ht="15.75" customHeight="1">
      <c r="A347" s="140"/>
      <c r="B347" s="140"/>
      <c r="C347" s="140"/>
      <c r="D347" s="140"/>
      <c r="E347" s="140"/>
      <c r="F347" s="140"/>
      <c r="J347" s="140"/>
      <c r="K347" s="140"/>
      <c r="L347" s="140"/>
      <c r="M347" s="140"/>
      <c r="N347" s="140"/>
    </row>
    <row r="348" ht="15.75" customHeight="1">
      <c r="A348" s="140"/>
      <c r="B348" s="140"/>
      <c r="C348" s="140"/>
      <c r="D348" s="140"/>
      <c r="E348" s="140"/>
      <c r="F348" s="140"/>
      <c r="J348" s="140"/>
      <c r="K348" s="140"/>
      <c r="L348" s="140"/>
      <c r="M348" s="140"/>
      <c r="N348" s="140"/>
    </row>
    <row r="349" ht="15.75" customHeight="1">
      <c r="A349" s="140"/>
      <c r="B349" s="140"/>
      <c r="C349" s="140"/>
      <c r="D349" s="140"/>
      <c r="E349" s="140"/>
      <c r="F349" s="140"/>
      <c r="J349" s="140"/>
      <c r="K349" s="140"/>
      <c r="L349" s="140"/>
      <c r="M349" s="140"/>
      <c r="N349" s="140"/>
    </row>
    <row r="350" ht="15.75" customHeight="1">
      <c r="A350" s="140"/>
      <c r="B350" s="140"/>
      <c r="C350" s="140"/>
      <c r="D350" s="140"/>
      <c r="E350" s="140"/>
      <c r="F350" s="140"/>
      <c r="J350" s="140"/>
      <c r="K350" s="140"/>
      <c r="L350" s="140"/>
      <c r="M350" s="140"/>
      <c r="N350" s="140"/>
    </row>
    <row r="351" ht="15.75" customHeight="1">
      <c r="A351" s="140"/>
      <c r="B351" s="140"/>
      <c r="C351" s="140"/>
      <c r="D351" s="140"/>
      <c r="E351" s="140"/>
      <c r="F351" s="140"/>
      <c r="J351" s="140"/>
      <c r="K351" s="140"/>
      <c r="L351" s="140"/>
      <c r="M351" s="140"/>
      <c r="N351" s="140"/>
    </row>
    <row r="352" ht="15.75" customHeight="1">
      <c r="A352" s="140"/>
      <c r="B352" s="140"/>
      <c r="C352" s="140"/>
      <c r="D352" s="140"/>
      <c r="E352" s="140"/>
      <c r="F352" s="140"/>
      <c r="J352" s="140"/>
      <c r="K352" s="140"/>
      <c r="L352" s="140"/>
      <c r="M352" s="140"/>
      <c r="N352" s="140"/>
    </row>
    <row r="353" ht="15.75" customHeight="1">
      <c r="A353" s="140"/>
      <c r="B353" s="140"/>
      <c r="C353" s="140"/>
      <c r="D353" s="140"/>
      <c r="E353" s="140"/>
      <c r="F353" s="140"/>
      <c r="J353" s="140"/>
      <c r="K353" s="140"/>
      <c r="L353" s="140"/>
      <c r="M353" s="140"/>
      <c r="N353" s="140"/>
    </row>
    <row r="354" ht="15.75" customHeight="1">
      <c r="A354" s="140"/>
      <c r="B354" s="140"/>
      <c r="C354" s="140"/>
      <c r="D354" s="140"/>
      <c r="E354" s="140"/>
      <c r="F354" s="140"/>
      <c r="J354" s="140"/>
      <c r="K354" s="140"/>
      <c r="L354" s="140"/>
      <c r="M354" s="140"/>
      <c r="N354" s="140"/>
    </row>
    <row r="355" ht="15.75" customHeight="1">
      <c r="A355" s="140"/>
      <c r="B355" s="140"/>
      <c r="C355" s="140"/>
      <c r="D355" s="140"/>
      <c r="E355" s="140"/>
      <c r="F355" s="140"/>
      <c r="J355" s="140"/>
      <c r="K355" s="140"/>
      <c r="L355" s="140"/>
      <c r="M355" s="140"/>
      <c r="N355" s="140"/>
    </row>
    <row r="356" ht="15.75" customHeight="1">
      <c r="A356" s="140"/>
      <c r="B356" s="140"/>
      <c r="C356" s="140"/>
      <c r="D356" s="140"/>
      <c r="E356" s="140"/>
      <c r="F356" s="140"/>
      <c r="J356" s="140"/>
      <c r="K356" s="140"/>
      <c r="L356" s="140"/>
      <c r="M356" s="140"/>
      <c r="N356" s="140"/>
    </row>
    <row r="357" ht="15.75" customHeight="1">
      <c r="A357" s="140"/>
      <c r="B357" s="140"/>
      <c r="C357" s="140"/>
      <c r="D357" s="140"/>
      <c r="E357" s="140"/>
      <c r="F357" s="140"/>
      <c r="J357" s="140"/>
      <c r="K357" s="140"/>
      <c r="L357" s="140"/>
      <c r="M357" s="140"/>
      <c r="N357" s="140"/>
    </row>
    <row r="358" ht="15.75" customHeight="1">
      <c r="A358" s="140"/>
      <c r="B358" s="140"/>
      <c r="C358" s="140"/>
      <c r="D358" s="140"/>
      <c r="E358" s="140"/>
      <c r="F358" s="140"/>
      <c r="J358" s="140"/>
      <c r="K358" s="140"/>
      <c r="L358" s="140"/>
      <c r="M358" s="140"/>
      <c r="N358" s="140"/>
    </row>
    <row r="359" ht="15.75" customHeight="1">
      <c r="A359" s="140"/>
      <c r="B359" s="140"/>
      <c r="C359" s="140"/>
      <c r="D359" s="140"/>
      <c r="E359" s="140"/>
      <c r="F359" s="140"/>
      <c r="J359" s="140"/>
      <c r="K359" s="140"/>
      <c r="L359" s="140"/>
      <c r="M359" s="140"/>
      <c r="N359" s="140"/>
    </row>
    <row r="360" ht="15.75" customHeight="1">
      <c r="A360" s="140"/>
      <c r="B360" s="140"/>
      <c r="C360" s="140"/>
      <c r="D360" s="140"/>
      <c r="E360" s="140"/>
      <c r="F360" s="140"/>
      <c r="J360" s="140"/>
      <c r="K360" s="140"/>
      <c r="L360" s="140"/>
      <c r="M360" s="140"/>
      <c r="N360" s="140"/>
    </row>
    <row r="361" ht="15.75" customHeight="1">
      <c r="A361" s="140"/>
      <c r="B361" s="140"/>
      <c r="C361" s="140"/>
      <c r="D361" s="140"/>
      <c r="E361" s="140"/>
      <c r="F361" s="140"/>
      <c r="J361" s="140"/>
      <c r="K361" s="140"/>
      <c r="L361" s="140"/>
      <c r="M361" s="140"/>
      <c r="N361" s="140"/>
    </row>
    <row r="362" ht="15.75" customHeight="1">
      <c r="A362" s="140"/>
      <c r="B362" s="140"/>
      <c r="C362" s="140"/>
      <c r="D362" s="140"/>
      <c r="E362" s="140"/>
      <c r="F362" s="140"/>
      <c r="J362" s="140"/>
      <c r="K362" s="140"/>
      <c r="L362" s="140"/>
      <c r="M362" s="140"/>
      <c r="N362" s="140"/>
    </row>
    <row r="363" ht="15.75" customHeight="1">
      <c r="A363" s="140"/>
      <c r="B363" s="140"/>
      <c r="C363" s="140"/>
      <c r="D363" s="140"/>
      <c r="E363" s="140"/>
      <c r="F363" s="140"/>
      <c r="J363" s="140"/>
      <c r="K363" s="140"/>
      <c r="L363" s="140"/>
      <c r="M363" s="140"/>
      <c r="N363" s="140"/>
    </row>
    <row r="364" ht="15.75" customHeight="1">
      <c r="A364" s="140"/>
      <c r="B364" s="140"/>
      <c r="C364" s="140"/>
      <c r="D364" s="140"/>
      <c r="E364" s="140"/>
      <c r="F364" s="140"/>
      <c r="J364" s="140"/>
      <c r="K364" s="140"/>
      <c r="L364" s="140"/>
      <c r="M364" s="140"/>
      <c r="N364" s="140"/>
    </row>
    <row r="365" ht="15.75" customHeight="1">
      <c r="A365" s="140"/>
      <c r="B365" s="140"/>
      <c r="C365" s="140"/>
      <c r="D365" s="140"/>
      <c r="E365" s="140"/>
      <c r="F365" s="140"/>
      <c r="J365" s="140"/>
      <c r="K365" s="140"/>
      <c r="L365" s="140"/>
      <c r="M365" s="140"/>
      <c r="N365" s="140"/>
    </row>
    <row r="366" ht="15.75" customHeight="1">
      <c r="A366" s="140"/>
      <c r="B366" s="140"/>
      <c r="C366" s="140"/>
      <c r="D366" s="140"/>
      <c r="E366" s="140"/>
      <c r="F366" s="140"/>
      <c r="J366" s="140"/>
      <c r="K366" s="140"/>
      <c r="L366" s="140"/>
      <c r="M366" s="140"/>
      <c r="N366" s="140"/>
    </row>
    <row r="367" ht="15.75" customHeight="1">
      <c r="A367" s="140"/>
      <c r="B367" s="140"/>
      <c r="C367" s="140"/>
      <c r="D367" s="140"/>
      <c r="E367" s="140"/>
      <c r="F367" s="140"/>
      <c r="J367" s="140"/>
      <c r="K367" s="140"/>
      <c r="L367" s="140"/>
      <c r="M367" s="140"/>
      <c r="N367" s="140"/>
    </row>
    <row r="368" ht="15.75" customHeight="1">
      <c r="A368" s="140"/>
      <c r="B368" s="140"/>
      <c r="C368" s="140"/>
      <c r="D368" s="140"/>
      <c r="E368" s="140"/>
      <c r="F368" s="140"/>
      <c r="J368" s="140"/>
      <c r="K368" s="140"/>
      <c r="L368" s="140"/>
      <c r="M368" s="140"/>
      <c r="N368" s="140"/>
    </row>
    <row r="369" ht="15.75" customHeight="1">
      <c r="A369" s="140"/>
      <c r="B369" s="140"/>
      <c r="C369" s="140"/>
      <c r="D369" s="140"/>
      <c r="E369" s="140"/>
      <c r="F369" s="140"/>
      <c r="J369" s="140"/>
      <c r="K369" s="140"/>
      <c r="L369" s="140"/>
      <c r="M369" s="140"/>
      <c r="N369" s="140"/>
    </row>
    <row r="370" ht="15.75" customHeight="1">
      <c r="A370" s="140"/>
      <c r="B370" s="140"/>
      <c r="C370" s="140"/>
      <c r="D370" s="140"/>
      <c r="E370" s="140"/>
      <c r="F370" s="140"/>
      <c r="J370" s="140"/>
      <c r="K370" s="140"/>
      <c r="L370" s="140"/>
      <c r="M370" s="140"/>
      <c r="N370" s="140"/>
    </row>
    <row r="371" ht="15.75" customHeight="1">
      <c r="A371" s="140"/>
      <c r="B371" s="140"/>
      <c r="C371" s="140"/>
      <c r="D371" s="140"/>
      <c r="E371" s="140"/>
      <c r="F371" s="140"/>
      <c r="J371" s="140"/>
      <c r="K371" s="140"/>
      <c r="L371" s="140"/>
      <c r="M371" s="140"/>
      <c r="N371" s="140"/>
    </row>
    <row r="372" ht="15.75" customHeight="1">
      <c r="A372" s="140"/>
      <c r="B372" s="140"/>
      <c r="C372" s="140"/>
      <c r="D372" s="140"/>
      <c r="E372" s="140"/>
      <c r="F372" s="140"/>
      <c r="J372" s="140"/>
      <c r="K372" s="140"/>
      <c r="L372" s="140"/>
      <c r="M372" s="140"/>
      <c r="N372" s="140"/>
    </row>
    <row r="373" ht="15.75" customHeight="1">
      <c r="A373" s="140"/>
      <c r="B373" s="140"/>
      <c r="C373" s="140"/>
      <c r="D373" s="140"/>
      <c r="E373" s="140"/>
      <c r="F373" s="140"/>
      <c r="J373" s="140"/>
      <c r="K373" s="140"/>
      <c r="L373" s="140"/>
      <c r="M373" s="140"/>
      <c r="N373" s="140"/>
    </row>
    <row r="374" ht="15.75" customHeight="1">
      <c r="A374" s="140"/>
      <c r="B374" s="140"/>
      <c r="C374" s="140"/>
      <c r="D374" s="140"/>
      <c r="E374" s="140"/>
      <c r="F374" s="140"/>
      <c r="J374" s="140"/>
      <c r="K374" s="140"/>
      <c r="L374" s="140"/>
      <c r="M374" s="140"/>
      <c r="N374" s="140"/>
    </row>
    <row r="375" ht="15.75" customHeight="1">
      <c r="A375" s="140"/>
      <c r="B375" s="140"/>
      <c r="C375" s="140"/>
      <c r="D375" s="140"/>
      <c r="E375" s="140"/>
      <c r="F375" s="140"/>
      <c r="J375" s="140"/>
      <c r="K375" s="140"/>
      <c r="L375" s="140"/>
      <c r="M375" s="140"/>
      <c r="N375" s="140"/>
    </row>
    <row r="376" ht="15.75" customHeight="1">
      <c r="A376" s="140"/>
      <c r="B376" s="140"/>
      <c r="C376" s="140"/>
      <c r="D376" s="140"/>
      <c r="E376" s="140"/>
      <c r="F376" s="140"/>
      <c r="J376" s="140"/>
      <c r="K376" s="140"/>
      <c r="L376" s="140"/>
      <c r="M376" s="140"/>
      <c r="N376" s="140"/>
    </row>
    <row r="377" ht="15.75" customHeight="1">
      <c r="A377" s="140"/>
      <c r="B377" s="140"/>
      <c r="C377" s="140"/>
      <c r="D377" s="140"/>
      <c r="E377" s="140"/>
      <c r="F377" s="140"/>
      <c r="J377" s="140"/>
      <c r="K377" s="140"/>
      <c r="L377" s="140"/>
      <c r="M377" s="140"/>
      <c r="N377" s="140"/>
    </row>
    <row r="378" ht="15.75" customHeight="1">
      <c r="A378" s="140"/>
      <c r="B378" s="140"/>
      <c r="C378" s="140"/>
      <c r="D378" s="140"/>
      <c r="E378" s="140"/>
      <c r="F378" s="140"/>
      <c r="J378" s="140"/>
      <c r="K378" s="140"/>
      <c r="L378" s="140"/>
      <c r="M378" s="140"/>
      <c r="N378" s="140"/>
    </row>
    <row r="379" ht="15.75" customHeight="1">
      <c r="A379" s="140"/>
      <c r="B379" s="140"/>
      <c r="C379" s="140"/>
      <c r="D379" s="140"/>
      <c r="E379" s="140"/>
      <c r="F379" s="140"/>
      <c r="J379" s="140"/>
      <c r="K379" s="140"/>
      <c r="L379" s="140"/>
      <c r="M379" s="140"/>
      <c r="N379" s="140"/>
    </row>
    <row r="380" ht="15.75" customHeight="1">
      <c r="A380" s="140"/>
      <c r="B380" s="140"/>
      <c r="C380" s="140"/>
      <c r="D380" s="140"/>
      <c r="E380" s="140"/>
      <c r="F380" s="140"/>
      <c r="J380" s="140"/>
      <c r="K380" s="140"/>
      <c r="L380" s="140"/>
      <c r="M380" s="140"/>
      <c r="N380" s="140"/>
    </row>
    <row r="381" ht="15.75" customHeight="1">
      <c r="A381" s="140"/>
      <c r="B381" s="140"/>
      <c r="C381" s="140"/>
      <c r="D381" s="140"/>
      <c r="E381" s="140"/>
      <c r="F381" s="140"/>
      <c r="J381" s="140"/>
      <c r="K381" s="140"/>
      <c r="L381" s="140"/>
      <c r="M381" s="140"/>
      <c r="N381" s="140"/>
    </row>
    <row r="382" ht="15.75" customHeight="1">
      <c r="A382" s="140"/>
      <c r="B382" s="140"/>
      <c r="C382" s="140"/>
      <c r="D382" s="140"/>
      <c r="E382" s="140"/>
      <c r="F382" s="140"/>
      <c r="J382" s="140"/>
      <c r="K382" s="140"/>
      <c r="L382" s="140"/>
      <c r="M382" s="140"/>
      <c r="N382" s="140"/>
    </row>
    <row r="383" ht="15.75" customHeight="1">
      <c r="A383" s="140"/>
      <c r="B383" s="140"/>
      <c r="C383" s="140"/>
      <c r="D383" s="140"/>
      <c r="E383" s="140"/>
      <c r="F383" s="140"/>
      <c r="J383" s="140"/>
      <c r="K383" s="140"/>
      <c r="L383" s="140"/>
      <c r="M383" s="140"/>
      <c r="N383" s="140"/>
    </row>
    <row r="384" ht="15.75" customHeight="1">
      <c r="A384" s="140"/>
      <c r="B384" s="140"/>
      <c r="C384" s="140"/>
      <c r="D384" s="140"/>
      <c r="E384" s="140"/>
      <c r="F384" s="140"/>
      <c r="J384" s="140"/>
      <c r="K384" s="140"/>
      <c r="L384" s="140"/>
      <c r="M384" s="140"/>
      <c r="N384" s="140"/>
    </row>
    <row r="385" ht="15.75" customHeight="1">
      <c r="A385" s="140"/>
      <c r="B385" s="140"/>
      <c r="C385" s="140"/>
      <c r="D385" s="140"/>
      <c r="E385" s="140"/>
      <c r="F385" s="140"/>
      <c r="J385" s="140"/>
      <c r="K385" s="140"/>
      <c r="L385" s="140"/>
      <c r="M385" s="140"/>
      <c r="N385" s="140"/>
    </row>
    <row r="386" ht="15.75" customHeight="1">
      <c r="A386" s="140"/>
      <c r="B386" s="140"/>
      <c r="C386" s="140"/>
      <c r="D386" s="140"/>
      <c r="E386" s="140"/>
      <c r="F386" s="140"/>
      <c r="J386" s="140"/>
      <c r="K386" s="140"/>
      <c r="L386" s="140"/>
      <c r="M386" s="140"/>
      <c r="N386" s="140"/>
    </row>
    <row r="387" ht="15.75" customHeight="1">
      <c r="A387" s="140"/>
      <c r="B387" s="140"/>
      <c r="C387" s="140"/>
      <c r="D387" s="140"/>
      <c r="E387" s="140"/>
      <c r="F387" s="140"/>
      <c r="J387" s="140"/>
      <c r="K387" s="140"/>
      <c r="L387" s="140"/>
      <c r="M387" s="140"/>
      <c r="N387" s="140"/>
    </row>
    <row r="388" ht="15.75" customHeight="1">
      <c r="A388" s="140"/>
      <c r="B388" s="140"/>
      <c r="C388" s="140"/>
      <c r="D388" s="140"/>
      <c r="E388" s="140"/>
      <c r="F388" s="140"/>
      <c r="J388" s="140"/>
      <c r="K388" s="140"/>
      <c r="L388" s="140"/>
      <c r="M388" s="140"/>
      <c r="N388" s="140"/>
    </row>
    <row r="389" ht="15.75" customHeight="1">
      <c r="A389" s="140"/>
      <c r="B389" s="140"/>
      <c r="C389" s="140"/>
      <c r="D389" s="140"/>
      <c r="E389" s="140"/>
      <c r="F389" s="140"/>
      <c r="J389" s="140"/>
      <c r="K389" s="140"/>
      <c r="L389" s="140"/>
      <c r="M389" s="140"/>
      <c r="N389" s="140"/>
    </row>
    <row r="390" ht="15.75" customHeight="1">
      <c r="A390" s="140"/>
      <c r="B390" s="140"/>
      <c r="C390" s="140"/>
      <c r="D390" s="140"/>
      <c r="E390" s="140"/>
      <c r="F390" s="140"/>
      <c r="J390" s="140"/>
      <c r="K390" s="140"/>
      <c r="L390" s="140"/>
      <c r="M390" s="140"/>
      <c r="N390" s="140"/>
    </row>
    <row r="391" ht="15.75" customHeight="1">
      <c r="A391" s="140"/>
      <c r="B391" s="140"/>
      <c r="C391" s="140"/>
      <c r="D391" s="140"/>
      <c r="E391" s="140"/>
      <c r="F391" s="140"/>
      <c r="J391" s="140"/>
      <c r="K391" s="140"/>
      <c r="L391" s="140"/>
      <c r="M391" s="140"/>
      <c r="N391" s="140"/>
    </row>
    <row r="392" ht="15.75" customHeight="1">
      <c r="A392" s="140"/>
      <c r="B392" s="140"/>
      <c r="C392" s="140"/>
      <c r="D392" s="140"/>
      <c r="E392" s="140"/>
      <c r="F392" s="140"/>
      <c r="J392" s="140"/>
      <c r="K392" s="140"/>
      <c r="L392" s="140"/>
      <c r="M392" s="140"/>
      <c r="N392" s="140"/>
    </row>
    <row r="393" ht="15.75" customHeight="1">
      <c r="A393" s="140"/>
      <c r="B393" s="140"/>
      <c r="C393" s="140"/>
      <c r="D393" s="140"/>
      <c r="E393" s="140"/>
      <c r="F393" s="140"/>
      <c r="J393" s="140"/>
      <c r="K393" s="140"/>
      <c r="L393" s="140"/>
      <c r="M393" s="140"/>
      <c r="N393" s="140"/>
    </row>
    <row r="394" ht="15.75" customHeight="1">
      <c r="A394" s="140"/>
      <c r="B394" s="140"/>
      <c r="C394" s="140"/>
      <c r="D394" s="140"/>
      <c r="E394" s="140"/>
      <c r="F394" s="140"/>
      <c r="J394" s="140"/>
      <c r="K394" s="140"/>
      <c r="L394" s="140"/>
      <c r="M394" s="140"/>
      <c r="N394" s="140"/>
    </row>
    <row r="395" ht="15.75" customHeight="1">
      <c r="A395" s="140"/>
      <c r="B395" s="140"/>
      <c r="C395" s="140"/>
      <c r="D395" s="140"/>
      <c r="E395" s="140"/>
      <c r="F395" s="140"/>
      <c r="J395" s="140"/>
      <c r="K395" s="140"/>
      <c r="L395" s="140"/>
      <c r="M395" s="140"/>
      <c r="N395" s="140"/>
    </row>
    <row r="396" ht="15.75" customHeight="1">
      <c r="A396" s="140"/>
      <c r="B396" s="140"/>
      <c r="C396" s="140"/>
      <c r="D396" s="140"/>
      <c r="E396" s="140"/>
      <c r="F396" s="140"/>
      <c r="J396" s="140"/>
      <c r="K396" s="140"/>
      <c r="L396" s="140"/>
      <c r="M396" s="140"/>
      <c r="N396" s="140"/>
    </row>
    <row r="397" ht="15.75" customHeight="1">
      <c r="A397" s="140"/>
      <c r="B397" s="140"/>
      <c r="C397" s="140"/>
      <c r="D397" s="140"/>
      <c r="E397" s="140"/>
      <c r="F397" s="140"/>
      <c r="J397" s="140"/>
      <c r="K397" s="140"/>
      <c r="L397" s="140"/>
      <c r="M397" s="140"/>
      <c r="N397" s="140"/>
    </row>
    <row r="398" ht="15.75" customHeight="1">
      <c r="A398" s="140"/>
      <c r="B398" s="140"/>
      <c r="C398" s="140"/>
      <c r="D398" s="140"/>
      <c r="E398" s="140"/>
      <c r="F398" s="140"/>
      <c r="J398" s="140"/>
      <c r="K398" s="140"/>
      <c r="L398" s="140"/>
      <c r="M398" s="140"/>
      <c r="N398" s="140"/>
    </row>
    <row r="399" ht="15.75" customHeight="1">
      <c r="A399" s="140"/>
      <c r="B399" s="140"/>
      <c r="C399" s="140"/>
      <c r="D399" s="140"/>
      <c r="E399" s="140"/>
      <c r="F399" s="140"/>
      <c r="J399" s="140"/>
      <c r="K399" s="140"/>
      <c r="L399" s="140"/>
      <c r="M399" s="140"/>
      <c r="N399" s="140"/>
    </row>
    <row r="400" ht="15.75" customHeight="1">
      <c r="A400" s="140"/>
      <c r="B400" s="140"/>
      <c r="C400" s="140"/>
      <c r="D400" s="140"/>
      <c r="E400" s="140"/>
      <c r="F400" s="140"/>
      <c r="J400" s="140"/>
      <c r="K400" s="140"/>
      <c r="L400" s="140"/>
      <c r="M400" s="140"/>
      <c r="N400" s="140"/>
    </row>
    <row r="401" ht="15.75" customHeight="1">
      <c r="A401" s="140"/>
      <c r="B401" s="140"/>
      <c r="C401" s="140"/>
      <c r="D401" s="140"/>
      <c r="E401" s="140"/>
      <c r="F401" s="140"/>
      <c r="J401" s="140"/>
      <c r="K401" s="140"/>
      <c r="L401" s="140"/>
      <c r="M401" s="140"/>
      <c r="N401" s="140"/>
    </row>
    <row r="402" ht="15.75" customHeight="1">
      <c r="A402" s="140"/>
      <c r="B402" s="140"/>
      <c r="C402" s="140"/>
      <c r="D402" s="140"/>
      <c r="E402" s="140"/>
      <c r="F402" s="140"/>
      <c r="J402" s="140"/>
      <c r="K402" s="140"/>
      <c r="L402" s="140"/>
      <c r="M402" s="140"/>
      <c r="N402" s="140"/>
    </row>
    <row r="403" ht="15.75" customHeight="1">
      <c r="A403" s="140"/>
      <c r="B403" s="140"/>
      <c r="C403" s="140"/>
      <c r="D403" s="140"/>
      <c r="E403" s="140"/>
      <c r="F403" s="140"/>
      <c r="J403" s="140"/>
      <c r="K403" s="140"/>
      <c r="L403" s="140"/>
      <c r="M403" s="140"/>
      <c r="N403" s="140"/>
    </row>
    <row r="404" ht="15.75" customHeight="1">
      <c r="A404" s="140"/>
      <c r="B404" s="140"/>
      <c r="C404" s="140"/>
      <c r="D404" s="140"/>
      <c r="E404" s="140"/>
      <c r="F404" s="140"/>
      <c r="J404" s="140"/>
      <c r="K404" s="140"/>
      <c r="L404" s="140"/>
      <c r="M404" s="140"/>
      <c r="N404" s="140"/>
    </row>
    <row r="405" ht="15.75" customHeight="1">
      <c r="A405" s="140"/>
      <c r="B405" s="140"/>
      <c r="C405" s="140"/>
      <c r="D405" s="140"/>
      <c r="E405" s="140"/>
      <c r="F405" s="140"/>
      <c r="J405" s="140"/>
      <c r="K405" s="140"/>
      <c r="L405" s="140"/>
      <c r="M405" s="140"/>
      <c r="N405" s="140"/>
    </row>
    <row r="406" ht="15.75" customHeight="1">
      <c r="A406" s="140"/>
      <c r="B406" s="140"/>
      <c r="C406" s="140"/>
      <c r="D406" s="140"/>
      <c r="E406" s="140"/>
      <c r="F406" s="140"/>
      <c r="J406" s="140"/>
      <c r="K406" s="140"/>
      <c r="L406" s="140"/>
      <c r="M406" s="140"/>
      <c r="N406" s="140"/>
    </row>
    <row r="407" ht="15.75" customHeight="1">
      <c r="A407" s="140"/>
      <c r="B407" s="140"/>
      <c r="C407" s="140"/>
      <c r="D407" s="140"/>
      <c r="E407" s="140"/>
      <c r="F407" s="140"/>
      <c r="J407" s="140"/>
      <c r="K407" s="140"/>
      <c r="L407" s="140"/>
      <c r="M407" s="140"/>
      <c r="N407" s="140"/>
    </row>
    <row r="408" ht="15.75" customHeight="1">
      <c r="A408" s="140"/>
      <c r="B408" s="140"/>
      <c r="C408" s="140"/>
      <c r="D408" s="140"/>
      <c r="E408" s="140"/>
      <c r="F408" s="140"/>
      <c r="J408" s="140"/>
      <c r="K408" s="140"/>
      <c r="L408" s="140"/>
      <c r="M408" s="140"/>
      <c r="N408" s="140"/>
    </row>
    <row r="409" ht="15.75" customHeight="1">
      <c r="A409" s="140"/>
      <c r="B409" s="140"/>
      <c r="C409" s="140"/>
      <c r="D409" s="140"/>
      <c r="E409" s="140"/>
      <c r="F409" s="140"/>
      <c r="J409" s="140"/>
      <c r="K409" s="140"/>
      <c r="L409" s="140"/>
      <c r="M409" s="140"/>
      <c r="N409" s="140"/>
    </row>
    <row r="410" ht="15.75" customHeight="1">
      <c r="A410" s="140"/>
      <c r="B410" s="140"/>
      <c r="C410" s="140"/>
      <c r="D410" s="140"/>
      <c r="E410" s="140"/>
      <c r="F410" s="140"/>
      <c r="J410" s="140"/>
      <c r="K410" s="140"/>
      <c r="L410" s="140"/>
      <c r="M410" s="140"/>
      <c r="N410" s="140"/>
    </row>
    <row r="411" ht="15.75" customHeight="1">
      <c r="A411" s="140"/>
      <c r="B411" s="140"/>
      <c r="C411" s="140"/>
      <c r="D411" s="140"/>
      <c r="E411" s="140"/>
      <c r="F411" s="140"/>
      <c r="J411" s="140"/>
      <c r="K411" s="140"/>
      <c r="L411" s="140"/>
      <c r="M411" s="140"/>
      <c r="N411" s="140"/>
    </row>
    <row r="412" ht="15.75" customHeight="1">
      <c r="A412" s="140"/>
      <c r="B412" s="140"/>
      <c r="C412" s="140"/>
      <c r="D412" s="140"/>
      <c r="E412" s="140"/>
      <c r="F412" s="140"/>
      <c r="J412" s="140"/>
      <c r="K412" s="140"/>
      <c r="L412" s="140"/>
      <c r="M412" s="140"/>
      <c r="N412" s="140"/>
    </row>
    <row r="413" ht="15.75" customHeight="1">
      <c r="A413" s="140"/>
      <c r="B413" s="140"/>
      <c r="C413" s="140"/>
      <c r="D413" s="140"/>
      <c r="E413" s="140"/>
      <c r="F413" s="140"/>
      <c r="J413" s="140"/>
      <c r="K413" s="140"/>
      <c r="L413" s="140"/>
      <c r="M413" s="140"/>
      <c r="N413" s="140"/>
    </row>
    <row r="414" ht="15.75" customHeight="1">
      <c r="A414" s="140"/>
      <c r="B414" s="140"/>
      <c r="C414" s="140"/>
      <c r="D414" s="140"/>
      <c r="E414" s="140"/>
      <c r="F414" s="140"/>
      <c r="J414" s="140"/>
      <c r="K414" s="140"/>
      <c r="L414" s="140"/>
      <c r="M414" s="140"/>
      <c r="N414" s="140"/>
    </row>
    <row r="415" ht="15.75" customHeight="1">
      <c r="A415" s="140"/>
      <c r="B415" s="140"/>
      <c r="C415" s="140"/>
      <c r="D415" s="140"/>
      <c r="E415" s="140"/>
      <c r="F415" s="140"/>
      <c r="J415" s="140"/>
      <c r="K415" s="140"/>
      <c r="L415" s="140"/>
      <c r="M415" s="140"/>
      <c r="N415" s="140"/>
    </row>
    <row r="416" ht="15.75" customHeight="1">
      <c r="A416" s="140"/>
      <c r="B416" s="140"/>
      <c r="C416" s="140"/>
      <c r="D416" s="140"/>
      <c r="E416" s="140"/>
      <c r="F416" s="140"/>
      <c r="J416" s="140"/>
      <c r="K416" s="140"/>
      <c r="L416" s="140"/>
      <c r="M416" s="140"/>
      <c r="N416" s="140"/>
    </row>
    <row r="417" ht="15.75" customHeight="1">
      <c r="A417" s="140"/>
      <c r="B417" s="140"/>
      <c r="C417" s="140"/>
      <c r="D417" s="140"/>
      <c r="E417" s="140"/>
      <c r="F417" s="140"/>
      <c r="J417" s="140"/>
      <c r="K417" s="140"/>
      <c r="L417" s="140"/>
      <c r="M417" s="140"/>
      <c r="N417" s="140"/>
    </row>
    <row r="418" ht="15.75" customHeight="1">
      <c r="A418" s="140"/>
      <c r="B418" s="140"/>
      <c r="C418" s="140"/>
      <c r="D418" s="140"/>
      <c r="E418" s="140"/>
      <c r="F418" s="140"/>
      <c r="J418" s="140"/>
      <c r="K418" s="140"/>
      <c r="L418" s="140"/>
      <c r="M418" s="140"/>
      <c r="N418" s="140"/>
    </row>
    <row r="419" ht="15.75" customHeight="1">
      <c r="A419" s="140"/>
      <c r="B419" s="140"/>
      <c r="C419" s="140"/>
      <c r="D419" s="140"/>
      <c r="E419" s="140"/>
      <c r="F419" s="140"/>
      <c r="J419" s="140"/>
      <c r="K419" s="140"/>
      <c r="L419" s="140"/>
      <c r="M419" s="140"/>
      <c r="N419" s="140"/>
    </row>
    <row r="420" ht="15.75" customHeight="1">
      <c r="A420" s="140"/>
      <c r="B420" s="140"/>
      <c r="C420" s="140"/>
      <c r="D420" s="140"/>
      <c r="E420" s="140"/>
      <c r="F420" s="140"/>
      <c r="J420" s="140"/>
      <c r="K420" s="140"/>
      <c r="L420" s="140"/>
      <c r="M420" s="140"/>
      <c r="N420" s="140"/>
    </row>
    <row r="421" ht="15.75" customHeight="1">
      <c r="A421" s="140"/>
      <c r="B421" s="140"/>
      <c r="C421" s="140"/>
      <c r="D421" s="140"/>
      <c r="E421" s="140"/>
      <c r="F421" s="140"/>
      <c r="J421" s="140"/>
      <c r="K421" s="140"/>
      <c r="L421" s="140"/>
      <c r="M421" s="140"/>
      <c r="N421" s="140"/>
    </row>
    <row r="422" ht="15.75" customHeight="1">
      <c r="A422" s="140"/>
      <c r="B422" s="140"/>
      <c r="C422" s="140"/>
      <c r="D422" s="140"/>
      <c r="E422" s="140"/>
      <c r="F422" s="140"/>
      <c r="J422" s="140"/>
      <c r="K422" s="140"/>
      <c r="L422" s="140"/>
      <c r="M422" s="140"/>
      <c r="N422" s="140"/>
    </row>
    <row r="423" ht="15.75" customHeight="1">
      <c r="A423" s="140"/>
      <c r="B423" s="140"/>
      <c r="C423" s="140"/>
      <c r="D423" s="140"/>
      <c r="E423" s="140"/>
      <c r="F423" s="140"/>
      <c r="J423" s="140"/>
      <c r="K423" s="140"/>
      <c r="L423" s="140"/>
      <c r="M423" s="140"/>
      <c r="N423" s="140"/>
    </row>
    <row r="424" ht="15.75" customHeight="1">
      <c r="A424" s="140"/>
      <c r="B424" s="140"/>
      <c r="C424" s="140"/>
      <c r="D424" s="140"/>
      <c r="E424" s="140"/>
      <c r="F424" s="140"/>
      <c r="J424" s="140"/>
      <c r="K424" s="140"/>
      <c r="L424" s="140"/>
      <c r="M424" s="140"/>
      <c r="N424" s="140"/>
    </row>
    <row r="425" ht="15.75" customHeight="1">
      <c r="A425" s="140"/>
      <c r="B425" s="140"/>
      <c r="C425" s="140"/>
      <c r="D425" s="140"/>
      <c r="E425" s="140"/>
      <c r="F425" s="140"/>
      <c r="J425" s="140"/>
      <c r="K425" s="140"/>
      <c r="L425" s="140"/>
      <c r="M425" s="140"/>
      <c r="N425" s="140"/>
    </row>
    <row r="426" ht="15.75" customHeight="1">
      <c r="A426" s="140"/>
      <c r="B426" s="140"/>
      <c r="C426" s="140"/>
      <c r="D426" s="140"/>
      <c r="E426" s="140"/>
      <c r="F426" s="140"/>
      <c r="J426" s="140"/>
      <c r="K426" s="140"/>
      <c r="L426" s="140"/>
      <c r="M426" s="140"/>
      <c r="N426" s="140"/>
    </row>
    <row r="427" ht="15.75" customHeight="1">
      <c r="A427" s="140"/>
      <c r="B427" s="140"/>
      <c r="C427" s="140"/>
      <c r="D427" s="140"/>
      <c r="E427" s="140"/>
      <c r="F427" s="140"/>
      <c r="J427" s="140"/>
      <c r="K427" s="140"/>
      <c r="L427" s="140"/>
      <c r="M427" s="140"/>
      <c r="N427" s="140"/>
    </row>
    <row r="428" ht="15.75" customHeight="1">
      <c r="A428" s="140"/>
      <c r="B428" s="140"/>
      <c r="C428" s="140"/>
      <c r="D428" s="140"/>
      <c r="E428" s="140"/>
      <c r="F428" s="140"/>
      <c r="J428" s="140"/>
      <c r="K428" s="140"/>
      <c r="L428" s="140"/>
      <c r="M428" s="140"/>
      <c r="N428" s="140"/>
    </row>
    <row r="429" ht="15.75" customHeight="1">
      <c r="A429" s="140"/>
      <c r="B429" s="140"/>
      <c r="C429" s="140"/>
      <c r="D429" s="140"/>
      <c r="E429" s="140"/>
      <c r="F429" s="140"/>
      <c r="J429" s="140"/>
      <c r="K429" s="140"/>
      <c r="L429" s="140"/>
      <c r="M429" s="140"/>
      <c r="N429" s="140"/>
    </row>
    <row r="430" ht="15.75" customHeight="1">
      <c r="A430" s="140"/>
      <c r="B430" s="140"/>
      <c r="C430" s="140"/>
      <c r="D430" s="140"/>
      <c r="E430" s="140"/>
      <c r="F430" s="140"/>
      <c r="J430" s="140"/>
      <c r="K430" s="140"/>
      <c r="L430" s="140"/>
      <c r="M430" s="140"/>
      <c r="N430" s="140"/>
    </row>
    <row r="431" ht="15.75" customHeight="1">
      <c r="A431" s="140"/>
      <c r="B431" s="140"/>
      <c r="C431" s="140"/>
      <c r="D431" s="140"/>
      <c r="E431" s="140"/>
      <c r="F431" s="140"/>
      <c r="J431" s="140"/>
      <c r="K431" s="140"/>
      <c r="L431" s="140"/>
      <c r="M431" s="140"/>
      <c r="N431" s="140"/>
    </row>
    <row r="432" ht="15.75" customHeight="1">
      <c r="A432" s="140"/>
      <c r="B432" s="140"/>
      <c r="C432" s="140"/>
      <c r="D432" s="140"/>
      <c r="E432" s="140"/>
      <c r="F432" s="140"/>
      <c r="J432" s="140"/>
      <c r="K432" s="140"/>
      <c r="L432" s="140"/>
      <c r="M432" s="140"/>
      <c r="N432" s="140"/>
    </row>
    <row r="433" ht="15.75" customHeight="1">
      <c r="A433" s="140"/>
      <c r="B433" s="140"/>
      <c r="C433" s="140"/>
      <c r="D433" s="140"/>
      <c r="E433" s="140"/>
      <c r="F433" s="140"/>
      <c r="J433" s="140"/>
      <c r="K433" s="140"/>
      <c r="L433" s="140"/>
      <c r="M433" s="140"/>
      <c r="N433" s="140"/>
    </row>
    <row r="434" ht="15.75" customHeight="1">
      <c r="A434" s="140"/>
      <c r="B434" s="140"/>
      <c r="C434" s="140"/>
      <c r="D434" s="140"/>
      <c r="E434" s="140"/>
      <c r="F434" s="140"/>
      <c r="J434" s="140"/>
      <c r="K434" s="140"/>
      <c r="L434" s="140"/>
      <c r="M434" s="140"/>
      <c r="N434" s="140"/>
    </row>
    <row r="435" ht="15.75" customHeight="1">
      <c r="A435" s="140"/>
      <c r="B435" s="140"/>
      <c r="C435" s="140"/>
      <c r="D435" s="140"/>
      <c r="E435" s="140"/>
      <c r="F435" s="140"/>
      <c r="J435" s="140"/>
      <c r="K435" s="140"/>
      <c r="L435" s="140"/>
      <c r="M435" s="140"/>
      <c r="N435" s="140"/>
    </row>
    <row r="436" ht="15.75" customHeight="1">
      <c r="A436" s="140"/>
      <c r="B436" s="140"/>
      <c r="C436" s="140"/>
      <c r="D436" s="140"/>
      <c r="E436" s="140"/>
      <c r="F436" s="140"/>
      <c r="J436" s="140"/>
      <c r="K436" s="140"/>
      <c r="L436" s="140"/>
      <c r="M436" s="140"/>
      <c r="N436" s="140"/>
    </row>
    <row r="437" ht="15.75" customHeight="1">
      <c r="A437" s="140"/>
      <c r="B437" s="140"/>
      <c r="C437" s="140"/>
      <c r="D437" s="140"/>
      <c r="E437" s="140"/>
      <c r="F437" s="140"/>
      <c r="J437" s="140"/>
      <c r="K437" s="140"/>
      <c r="L437" s="140"/>
      <c r="M437" s="140"/>
      <c r="N437" s="140"/>
    </row>
    <row r="438" ht="15.75" customHeight="1">
      <c r="A438" s="140"/>
      <c r="B438" s="140"/>
      <c r="C438" s="140"/>
      <c r="D438" s="140"/>
      <c r="E438" s="140"/>
      <c r="F438" s="140"/>
      <c r="J438" s="140"/>
      <c r="K438" s="140"/>
      <c r="L438" s="140"/>
      <c r="M438" s="140"/>
      <c r="N438" s="140"/>
    </row>
    <row r="439" ht="15.75" customHeight="1">
      <c r="A439" s="140"/>
      <c r="B439" s="140"/>
      <c r="C439" s="140"/>
      <c r="D439" s="140"/>
      <c r="E439" s="140"/>
      <c r="F439" s="140"/>
      <c r="J439" s="140"/>
      <c r="K439" s="140"/>
      <c r="L439" s="140"/>
      <c r="M439" s="140"/>
      <c r="N439" s="140"/>
    </row>
    <row r="440" ht="15.75" customHeight="1">
      <c r="A440" s="140"/>
      <c r="B440" s="140"/>
      <c r="C440" s="140"/>
      <c r="D440" s="140"/>
      <c r="E440" s="140"/>
      <c r="F440" s="140"/>
      <c r="J440" s="140"/>
      <c r="K440" s="140"/>
      <c r="L440" s="140"/>
      <c r="M440" s="140"/>
      <c r="N440" s="140"/>
    </row>
    <row r="441" ht="15.75" customHeight="1">
      <c r="A441" s="140"/>
      <c r="B441" s="140"/>
      <c r="C441" s="140"/>
      <c r="D441" s="140"/>
      <c r="E441" s="140"/>
      <c r="F441" s="140"/>
      <c r="J441" s="140"/>
      <c r="K441" s="140"/>
      <c r="L441" s="140"/>
      <c r="M441" s="140"/>
      <c r="N441" s="140"/>
    </row>
    <row r="442" ht="15.75" customHeight="1">
      <c r="A442" s="140"/>
      <c r="B442" s="140"/>
      <c r="C442" s="140"/>
      <c r="D442" s="140"/>
      <c r="E442" s="140"/>
      <c r="F442" s="140"/>
      <c r="J442" s="140"/>
      <c r="K442" s="140"/>
      <c r="L442" s="140"/>
      <c r="M442" s="140"/>
      <c r="N442" s="140"/>
    </row>
    <row r="443" ht="15.75" customHeight="1">
      <c r="A443" s="140"/>
      <c r="B443" s="140"/>
      <c r="C443" s="140"/>
      <c r="D443" s="140"/>
      <c r="E443" s="140"/>
      <c r="F443" s="140"/>
      <c r="J443" s="140"/>
      <c r="K443" s="140"/>
      <c r="L443" s="140"/>
      <c r="M443" s="140"/>
      <c r="N443" s="140"/>
    </row>
    <row r="444" ht="15.75" customHeight="1">
      <c r="A444" s="140"/>
      <c r="B444" s="140"/>
      <c r="C444" s="140"/>
      <c r="D444" s="140"/>
      <c r="E444" s="140"/>
      <c r="F444" s="140"/>
      <c r="J444" s="140"/>
      <c r="K444" s="140"/>
      <c r="L444" s="140"/>
      <c r="M444" s="140"/>
      <c r="N444" s="140"/>
    </row>
    <row r="445" ht="15.75" customHeight="1">
      <c r="A445" s="140"/>
      <c r="B445" s="140"/>
      <c r="C445" s="140"/>
      <c r="D445" s="140"/>
      <c r="E445" s="140"/>
      <c r="F445" s="140"/>
      <c r="J445" s="140"/>
      <c r="K445" s="140"/>
      <c r="L445" s="140"/>
      <c r="M445" s="140"/>
      <c r="N445" s="140"/>
    </row>
    <row r="446" ht="15.75" customHeight="1">
      <c r="A446" s="140"/>
      <c r="B446" s="140"/>
      <c r="C446" s="140"/>
      <c r="D446" s="140"/>
      <c r="E446" s="140"/>
      <c r="F446" s="140"/>
      <c r="J446" s="140"/>
      <c r="K446" s="140"/>
      <c r="L446" s="140"/>
      <c r="M446" s="140"/>
      <c r="N446" s="140"/>
    </row>
    <row r="447" ht="15.75" customHeight="1">
      <c r="A447" s="140"/>
      <c r="B447" s="140"/>
      <c r="C447" s="140"/>
      <c r="D447" s="140"/>
      <c r="E447" s="140"/>
      <c r="F447" s="140"/>
      <c r="J447" s="140"/>
      <c r="K447" s="140"/>
      <c r="L447" s="140"/>
      <c r="M447" s="140"/>
      <c r="N447" s="140"/>
    </row>
    <row r="448" ht="15.75" customHeight="1">
      <c r="A448" s="140"/>
      <c r="B448" s="140"/>
      <c r="C448" s="140"/>
      <c r="D448" s="140"/>
      <c r="E448" s="140"/>
      <c r="F448" s="140"/>
      <c r="J448" s="140"/>
      <c r="K448" s="140"/>
      <c r="L448" s="140"/>
      <c r="M448" s="140"/>
      <c r="N448" s="140"/>
    </row>
    <row r="449" ht="15.75" customHeight="1">
      <c r="A449" s="140"/>
      <c r="B449" s="140"/>
      <c r="C449" s="140"/>
      <c r="D449" s="140"/>
      <c r="E449" s="140"/>
      <c r="F449" s="140"/>
      <c r="J449" s="140"/>
      <c r="K449" s="140"/>
      <c r="L449" s="140"/>
      <c r="M449" s="140"/>
      <c r="N449" s="140"/>
    </row>
    <row r="450" ht="15.75" customHeight="1">
      <c r="A450" s="140"/>
      <c r="B450" s="140"/>
      <c r="C450" s="140"/>
      <c r="D450" s="140"/>
      <c r="E450" s="140"/>
      <c r="F450" s="140"/>
      <c r="J450" s="140"/>
      <c r="K450" s="140"/>
      <c r="L450" s="140"/>
      <c r="M450" s="140"/>
      <c r="N450" s="140"/>
    </row>
    <row r="451" ht="15.75" customHeight="1">
      <c r="A451" s="140"/>
      <c r="B451" s="140"/>
      <c r="C451" s="140"/>
      <c r="D451" s="140"/>
      <c r="E451" s="140"/>
      <c r="F451" s="140"/>
      <c r="J451" s="140"/>
      <c r="K451" s="140"/>
      <c r="L451" s="140"/>
      <c r="M451" s="140"/>
      <c r="N451" s="140"/>
    </row>
    <row r="452" ht="15.75" customHeight="1">
      <c r="A452" s="140"/>
      <c r="B452" s="140"/>
      <c r="C452" s="140"/>
      <c r="D452" s="140"/>
      <c r="E452" s="140"/>
      <c r="F452" s="140"/>
      <c r="J452" s="140"/>
      <c r="K452" s="140"/>
      <c r="L452" s="140"/>
      <c r="M452" s="140"/>
      <c r="N452" s="140"/>
    </row>
    <row r="453" ht="15.75" customHeight="1">
      <c r="A453" s="140"/>
      <c r="B453" s="140"/>
      <c r="C453" s="140"/>
      <c r="D453" s="140"/>
      <c r="E453" s="140"/>
      <c r="F453" s="140"/>
      <c r="J453" s="140"/>
      <c r="K453" s="140"/>
      <c r="L453" s="140"/>
      <c r="M453" s="140"/>
      <c r="N453" s="140"/>
    </row>
    <row r="454" ht="15.75" customHeight="1">
      <c r="A454" s="140"/>
      <c r="B454" s="140"/>
      <c r="C454" s="140"/>
      <c r="D454" s="140"/>
      <c r="E454" s="140"/>
      <c r="F454" s="140"/>
      <c r="J454" s="140"/>
      <c r="K454" s="140"/>
      <c r="L454" s="140"/>
      <c r="M454" s="140"/>
      <c r="N454" s="140"/>
    </row>
    <row r="455" ht="15.75" customHeight="1">
      <c r="A455" s="140"/>
      <c r="B455" s="140"/>
      <c r="C455" s="140"/>
      <c r="D455" s="140"/>
      <c r="E455" s="140"/>
      <c r="F455" s="140"/>
      <c r="J455" s="140"/>
      <c r="K455" s="140"/>
      <c r="L455" s="140"/>
      <c r="M455" s="140"/>
      <c r="N455" s="140"/>
    </row>
    <row r="456" ht="15.75" customHeight="1">
      <c r="A456" s="140"/>
      <c r="B456" s="140"/>
      <c r="C456" s="140"/>
      <c r="D456" s="140"/>
      <c r="E456" s="140"/>
      <c r="F456" s="140"/>
      <c r="J456" s="140"/>
      <c r="K456" s="140"/>
      <c r="L456" s="140"/>
      <c r="M456" s="140"/>
      <c r="N456" s="140"/>
    </row>
    <row r="457" ht="15.75" customHeight="1">
      <c r="A457" s="140"/>
      <c r="B457" s="140"/>
      <c r="C457" s="140"/>
      <c r="D457" s="140"/>
      <c r="E457" s="140"/>
      <c r="F457" s="140"/>
      <c r="J457" s="140"/>
      <c r="K457" s="140"/>
      <c r="L457" s="140"/>
      <c r="M457" s="140"/>
      <c r="N457" s="140"/>
    </row>
    <row r="458" ht="15.75" customHeight="1">
      <c r="A458" s="140"/>
      <c r="B458" s="140"/>
      <c r="C458" s="140"/>
      <c r="D458" s="140"/>
      <c r="E458" s="140"/>
      <c r="F458" s="140"/>
      <c r="J458" s="140"/>
      <c r="K458" s="140"/>
      <c r="L458" s="140"/>
      <c r="M458" s="140"/>
      <c r="N458" s="140"/>
    </row>
    <row r="459" ht="15.75" customHeight="1">
      <c r="A459" s="140"/>
      <c r="B459" s="140"/>
      <c r="C459" s="140"/>
      <c r="D459" s="140"/>
      <c r="E459" s="140"/>
      <c r="F459" s="140"/>
      <c r="J459" s="140"/>
      <c r="K459" s="140"/>
      <c r="L459" s="140"/>
      <c r="M459" s="140"/>
      <c r="N459" s="140"/>
    </row>
    <row r="460" ht="15.75" customHeight="1">
      <c r="A460" s="140"/>
      <c r="B460" s="140"/>
      <c r="C460" s="140"/>
      <c r="D460" s="140"/>
      <c r="E460" s="140"/>
      <c r="F460" s="140"/>
      <c r="J460" s="140"/>
      <c r="K460" s="140"/>
      <c r="L460" s="140"/>
      <c r="M460" s="140"/>
      <c r="N460" s="140"/>
    </row>
    <row r="461" ht="15.75" customHeight="1">
      <c r="A461" s="140"/>
      <c r="B461" s="140"/>
      <c r="C461" s="140"/>
      <c r="D461" s="140"/>
      <c r="E461" s="140"/>
      <c r="F461" s="140"/>
      <c r="J461" s="140"/>
      <c r="K461" s="140"/>
      <c r="L461" s="140"/>
      <c r="M461" s="140"/>
      <c r="N461" s="140"/>
    </row>
    <row r="462" ht="15.75" customHeight="1">
      <c r="A462" s="140"/>
      <c r="B462" s="140"/>
      <c r="C462" s="140"/>
      <c r="D462" s="140"/>
      <c r="E462" s="140"/>
      <c r="F462" s="140"/>
      <c r="J462" s="140"/>
      <c r="K462" s="140"/>
      <c r="L462" s="140"/>
      <c r="M462" s="140"/>
      <c r="N462" s="140"/>
    </row>
    <row r="463" ht="15.75" customHeight="1">
      <c r="A463" s="140"/>
      <c r="B463" s="140"/>
      <c r="C463" s="140"/>
      <c r="D463" s="140"/>
      <c r="E463" s="140"/>
      <c r="F463" s="140"/>
      <c r="J463" s="140"/>
      <c r="K463" s="140"/>
      <c r="L463" s="140"/>
      <c r="M463" s="140"/>
      <c r="N463" s="140"/>
    </row>
    <row r="464" ht="15.75" customHeight="1">
      <c r="A464" s="140"/>
      <c r="B464" s="140"/>
      <c r="C464" s="140"/>
      <c r="D464" s="140"/>
      <c r="E464" s="140"/>
      <c r="F464" s="140"/>
      <c r="J464" s="140"/>
      <c r="K464" s="140"/>
      <c r="L464" s="140"/>
      <c r="M464" s="140"/>
      <c r="N464" s="140"/>
    </row>
    <row r="465" ht="15.75" customHeight="1">
      <c r="A465" s="140"/>
      <c r="B465" s="140"/>
      <c r="C465" s="140"/>
      <c r="D465" s="140"/>
      <c r="E465" s="140"/>
      <c r="F465" s="140"/>
      <c r="J465" s="140"/>
      <c r="K465" s="140"/>
      <c r="L465" s="140"/>
      <c r="M465" s="140"/>
      <c r="N465" s="140"/>
    </row>
    <row r="466" ht="15.75" customHeight="1">
      <c r="A466" s="140"/>
      <c r="B466" s="140"/>
      <c r="C466" s="140"/>
      <c r="D466" s="140"/>
      <c r="E466" s="140"/>
      <c r="F466" s="140"/>
      <c r="J466" s="140"/>
      <c r="K466" s="140"/>
      <c r="L466" s="140"/>
      <c r="M466" s="140"/>
      <c r="N466" s="140"/>
    </row>
    <row r="467" ht="15.75" customHeight="1">
      <c r="A467" s="140"/>
      <c r="B467" s="140"/>
      <c r="C467" s="140"/>
      <c r="D467" s="140"/>
      <c r="E467" s="140"/>
      <c r="F467" s="140"/>
      <c r="J467" s="140"/>
      <c r="K467" s="140"/>
      <c r="L467" s="140"/>
      <c r="M467" s="140"/>
      <c r="N467" s="140"/>
    </row>
    <row r="468" ht="15.75" customHeight="1">
      <c r="A468" s="140"/>
      <c r="B468" s="140"/>
      <c r="C468" s="140"/>
      <c r="D468" s="140"/>
      <c r="E468" s="140"/>
      <c r="F468" s="140"/>
      <c r="J468" s="140"/>
      <c r="K468" s="140"/>
      <c r="L468" s="140"/>
      <c r="M468" s="140"/>
      <c r="N468" s="140"/>
    </row>
    <row r="469" ht="15.75" customHeight="1">
      <c r="A469" s="140"/>
      <c r="B469" s="140"/>
      <c r="C469" s="140"/>
      <c r="D469" s="140"/>
      <c r="E469" s="140"/>
      <c r="F469" s="140"/>
      <c r="J469" s="140"/>
      <c r="K469" s="140"/>
      <c r="L469" s="140"/>
      <c r="M469" s="140"/>
      <c r="N469" s="140"/>
    </row>
    <row r="470" ht="15.75" customHeight="1">
      <c r="A470" s="140"/>
      <c r="B470" s="140"/>
      <c r="C470" s="140"/>
      <c r="D470" s="140"/>
      <c r="E470" s="140"/>
      <c r="F470" s="140"/>
      <c r="J470" s="140"/>
      <c r="K470" s="140"/>
      <c r="L470" s="140"/>
      <c r="M470" s="140"/>
      <c r="N470" s="140"/>
    </row>
    <row r="471" ht="15.75" customHeight="1">
      <c r="A471" s="140"/>
      <c r="B471" s="140"/>
      <c r="C471" s="140"/>
      <c r="D471" s="140"/>
      <c r="E471" s="140"/>
      <c r="F471" s="140"/>
      <c r="J471" s="140"/>
      <c r="K471" s="140"/>
      <c r="L471" s="140"/>
      <c r="M471" s="140"/>
      <c r="N471" s="140"/>
    </row>
    <row r="472" ht="15.75" customHeight="1">
      <c r="A472" s="140"/>
      <c r="B472" s="140"/>
      <c r="C472" s="140"/>
      <c r="D472" s="140"/>
      <c r="E472" s="140"/>
      <c r="F472" s="140"/>
      <c r="J472" s="140"/>
      <c r="K472" s="140"/>
      <c r="L472" s="140"/>
      <c r="M472" s="140"/>
      <c r="N472" s="140"/>
    </row>
    <row r="473" ht="15.75" customHeight="1">
      <c r="A473" s="140"/>
      <c r="B473" s="140"/>
      <c r="C473" s="140"/>
      <c r="D473" s="140"/>
      <c r="E473" s="140"/>
      <c r="F473" s="140"/>
      <c r="J473" s="140"/>
      <c r="K473" s="140"/>
      <c r="L473" s="140"/>
      <c r="M473" s="140"/>
      <c r="N473" s="140"/>
    </row>
    <row r="474" ht="15.75" customHeight="1">
      <c r="A474" s="140"/>
      <c r="B474" s="140"/>
      <c r="C474" s="140"/>
      <c r="D474" s="140"/>
      <c r="E474" s="140"/>
      <c r="F474" s="140"/>
      <c r="J474" s="140"/>
      <c r="K474" s="140"/>
      <c r="L474" s="140"/>
      <c r="M474" s="140"/>
      <c r="N474" s="140"/>
    </row>
    <row r="475" ht="15.75" customHeight="1">
      <c r="A475" s="140"/>
      <c r="B475" s="140"/>
      <c r="C475" s="140"/>
      <c r="D475" s="140"/>
      <c r="E475" s="140"/>
      <c r="F475" s="140"/>
      <c r="J475" s="140"/>
      <c r="K475" s="140"/>
      <c r="L475" s="140"/>
      <c r="M475" s="140"/>
      <c r="N475" s="140"/>
    </row>
    <row r="476" ht="15.75" customHeight="1">
      <c r="A476" s="140"/>
      <c r="B476" s="140"/>
      <c r="C476" s="140"/>
      <c r="D476" s="140"/>
      <c r="E476" s="140"/>
      <c r="F476" s="140"/>
      <c r="J476" s="140"/>
      <c r="K476" s="140"/>
      <c r="L476" s="140"/>
      <c r="M476" s="140"/>
      <c r="N476" s="140"/>
    </row>
    <row r="477" ht="15.75" customHeight="1">
      <c r="A477" s="140"/>
      <c r="B477" s="140"/>
      <c r="C477" s="140"/>
      <c r="D477" s="140"/>
      <c r="E477" s="140"/>
      <c r="F477" s="140"/>
      <c r="J477" s="140"/>
      <c r="K477" s="140"/>
      <c r="L477" s="140"/>
      <c r="M477" s="140"/>
      <c r="N477" s="140"/>
    </row>
    <row r="478" ht="15.75" customHeight="1">
      <c r="A478" s="140"/>
      <c r="B478" s="140"/>
      <c r="C478" s="140"/>
      <c r="D478" s="140"/>
      <c r="E478" s="140"/>
      <c r="F478" s="140"/>
      <c r="J478" s="140"/>
      <c r="K478" s="140"/>
      <c r="L478" s="140"/>
      <c r="M478" s="140"/>
      <c r="N478" s="140"/>
    </row>
    <row r="479" ht="15.75" customHeight="1">
      <c r="A479" s="140"/>
      <c r="B479" s="140"/>
      <c r="C479" s="140"/>
      <c r="D479" s="140"/>
      <c r="E479" s="140"/>
      <c r="F479" s="140"/>
      <c r="J479" s="140"/>
      <c r="K479" s="140"/>
      <c r="L479" s="140"/>
      <c r="M479" s="140"/>
      <c r="N479" s="140"/>
    </row>
    <row r="480" ht="15.75" customHeight="1">
      <c r="A480" s="140"/>
      <c r="B480" s="140"/>
      <c r="C480" s="140"/>
      <c r="D480" s="140"/>
      <c r="E480" s="140"/>
      <c r="F480" s="140"/>
      <c r="J480" s="140"/>
      <c r="K480" s="140"/>
      <c r="L480" s="140"/>
      <c r="M480" s="140"/>
      <c r="N480" s="140"/>
    </row>
    <row r="481" ht="15.75" customHeight="1">
      <c r="A481" s="140"/>
      <c r="B481" s="140"/>
      <c r="C481" s="140"/>
      <c r="D481" s="140"/>
      <c r="E481" s="140"/>
      <c r="F481" s="140"/>
      <c r="J481" s="140"/>
      <c r="K481" s="140"/>
      <c r="L481" s="140"/>
      <c r="M481" s="140"/>
      <c r="N481" s="140"/>
    </row>
    <row r="482" ht="15.75" customHeight="1">
      <c r="A482" s="140"/>
      <c r="B482" s="140"/>
      <c r="C482" s="140"/>
      <c r="D482" s="140"/>
      <c r="E482" s="140"/>
      <c r="F482" s="140"/>
      <c r="J482" s="140"/>
      <c r="K482" s="140"/>
      <c r="L482" s="140"/>
      <c r="M482" s="140"/>
      <c r="N482" s="140"/>
    </row>
    <row r="483" ht="15.75" customHeight="1">
      <c r="A483" s="140"/>
      <c r="B483" s="140"/>
      <c r="C483" s="140"/>
      <c r="D483" s="140"/>
      <c r="E483" s="140"/>
      <c r="F483" s="140"/>
      <c r="J483" s="140"/>
      <c r="K483" s="140"/>
      <c r="L483" s="140"/>
      <c r="M483" s="140"/>
      <c r="N483" s="140"/>
    </row>
    <row r="484" ht="15.75" customHeight="1">
      <c r="A484" s="140"/>
      <c r="B484" s="140"/>
      <c r="C484" s="140"/>
      <c r="D484" s="140"/>
      <c r="E484" s="140"/>
      <c r="F484" s="140"/>
      <c r="J484" s="140"/>
      <c r="K484" s="140"/>
      <c r="L484" s="140"/>
      <c r="M484" s="140"/>
      <c r="N484" s="140"/>
    </row>
    <row r="485" ht="15.75" customHeight="1">
      <c r="A485" s="140"/>
      <c r="B485" s="140"/>
      <c r="C485" s="140"/>
      <c r="D485" s="140"/>
      <c r="E485" s="140"/>
      <c r="F485" s="140"/>
      <c r="J485" s="140"/>
      <c r="K485" s="140"/>
      <c r="L485" s="140"/>
      <c r="M485" s="140"/>
      <c r="N485" s="140"/>
    </row>
    <row r="486" ht="15.75" customHeight="1">
      <c r="A486" s="140"/>
      <c r="B486" s="140"/>
      <c r="C486" s="140"/>
      <c r="D486" s="140"/>
      <c r="E486" s="140"/>
      <c r="F486" s="140"/>
      <c r="J486" s="140"/>
      <c r="K486" s="140"/>
      <c r="L486" s="140"/>
      <c r="M486" s="140"/>
      <c r="N486" s="140"/>
    </row>
    <row r="487" ht="15.75" customHeight="1">
      <c r="A487" s="140"/>
      <c r="B487" s="140"/>
      <c r="C487" s="140"/>
      <c r="D487" s="140"/>
      <c r="E487" s="140"/>
      <c r="F487" s="140"/>
      <c r="J487" s="140"/>
      <c r="K487" s="140"/>
      <c r="L487" s="140"/>
      <c r="M487" s="140"/>
      <c r="N487" s="140"/>
    </row>
    <row r="488" ht="15.75" customHeight="1">
      <c r="A488" s="140"/>
      <c r="B488" s="140"/>
      <c r="C488" s="140"/>
      <c r="D488" s="140"/>
      <c r="E488" s="140"/>
      <c r="F488" s="140"/>
      <c r="J488" s="140"/>
      <c r="K488" s="140"/>
      <c r="L488" s="140"/>
      <c r="M488" s="140"/>
      <c r="N488" s="140"/>
    </row>
    <row r="489" ht="15.75" customHeight="1">
      <c r="A489" s="140"/>
      <c r="B489" s="140"/>
      <c r="C489" s="140"/>
      <c r="D489" s="140"/>
      <c r="E489" s="140"/>
      <c r="F489" s="140"/>
      <c r="J489" s="140"/>
      <c r="K489" s="140"/>
      <c r="L489" s="140"/>
      <c r="M489" s="140"/>
      <c r="N489" s="140"/>
    </row>
    <row r="490" ht="15.75" customHeight="1">
      <c r="A490" s="140"/>
      <c r="B490" s="140"/>
      <c r="C490" s="140"/>
      <c r="D490" s="140"/>
      <c r="E490" s="140"/>
      <c r="F490" s="140"/>
      <c r="J490" s="140"/>
      <c r="K490" s="140"/>
      <c r="L490" s="140"/>
      <c r="M490" s="140"/>
      <c r="N490" s="140"/>
    </row>
    <row r="491" ht="15.75" customHeight="1">
      <c r="A491" s="140"/>
      <c r="B491" s="140"/>
      <c r="C491" s="140"/>
      <c r="D491" s="140"/>
      <c r="E491" s="140"/>
      <c r="F491" s="140"/>
      <c r="J491" s="140"/>
      <c r="K491" s="140"/>
      <c r="L491" s="140"/>
      <c r="M491" s="140"/>
      <c r="N491" s="140"/>
    </row>
    <row r="492" ht="15.75" customHeight="1">
      <c r="A492" s="140"/>
      <c r="B492" s="140"/>
      <c r="C492" s="140"/>
      <c r="D492" s="140"/>
      <c r="E492" s="140"/>
      <c r="F492" s="140"/>
      <c r="J492" s="140"/>
      <c r="K492" s="140"/>
      <c r="L492" s="140"/>
      <c r="M492" s="140"/>
      <c r="N492" s="140"/>
    </row>
    <row r="493" ht="15.75" customHeight="1">
      <c r="A493" s="140"/>
      <c r="B493" s="140"/>
      <c r="C493" s="140"/>
      <c r="D493" s="140"/>
      <c r="E493" s="140"/>
      <c r="F493" s="140"/>
      <c r="J493" s="140"/>
      <c r="K493" s="140"/>
      <c r="L493" s="140"/>
      <c r="M493" s="140"/>
      <c r="N493" s="140"/>
    </row>
    <row r="494" ht="15.75" customHeight="1">
      <c r="A494" s="140"/>
      <c r="B494" s="140"/>
      <c r="C494" s="140"/>
      <c r="D494" s="140"/>
      <c r="E494" s="140"/>
      <c r="F494" s="140"/>
      <c r="J494" s="140"/>
      <c r="K494" s="140"/>
      <c r="L494" s="140"/>
      <c r="M494" s="140"/>
      <c r="N494" s="140"/>
    </row>
    <row r="495" ht="15.75" customHeight="1">
      <c r="A495" s="140"/>
      <c r="B495" s="140"/>
      <c r="C495" s="140"/>
      <c r="D495" s="140"/>
      <c r="E495" s="140"/>
      <c r="F495" s="140"/>
      <c r="J495" s="140"/>
      <c r="K495" s="140"/>
      <c r="L495" s="140"/>
      <c r="M495" s="140"/>
      <c r="N495" s="140"/>
    </row>
    <row r="496" ht="15.75" customHeight="1">
      <c r="A496" s="140"/>
      <c r="B496" s="140"/>
      <c r="C496" s="140"/>
      <c r="D496" s="140"/>
      <c r="E496" s="140"/>
      <c r="F496" s="140"/>
      <c r="J496" s="140"/>
      <c r="K496" s="140"/>
      <c r="L496" s="140"/>
      <c r="M496" s="140"/>
      <c r="N496" s="140"/>
    </row>
    <row r="497" ht="15.75" customHeight="1">
      <c r="A497" s="140"/>
      <c r="B497" s="140"/>
      <c r="C497" s="140"/>
      <c r="D497" s="140"/>
      <c r="E497" s="140"/>
      <c r="F497" s="140"/>
      <c r="J497" s="140"/>
      <c r="K497" s="140"/>
      <c r="L497" s="140"/>
      <c r="M497" s="140"/>
      <c r="N497" s="140"/>
    </row>
    <row r="498" ht="15.75" customHeight="1">
      <c r="A498" s="140"/>
      <c r="B498" s="140"/>
      <c r="C498" s="140"/>
      <c r="D498" s="140"/>
      <c r="E498" s="140"/>
      <c r="F498" s="140"/>
      <c r="J498" s="140"/>
      <c r="K498" s="140"/>
      <c r="L498" s="140"/>
      <c r="M498" s="140"/>
      <c r="N498" s="140"/>
    </row>
    <row r="499" ht="15.75" customHeight="1">
      <c r="A499" s="140"/>
      <c r="B499" s="140"/>
      <c r="C499" s="140"/>
      <c r="D499" s="140"/>
      <c r="E499" s="140"/>
      <c r="F499" s="140"/>
      <c r="J499" s="140"/>
      <c r="K499" s="140"/>
      <c r="L499" s="140"/>
      <c r="M499" s="140"/>
      <c r="N499" s="140"/>
    </row>
    <row r="500" ht="15.75" customHeight="1">
      <c r="A500" s="140"/>
      <c r="B500" s="140"/>
      <c r="C500" s="140"/>
      <c r="D500" s="140"/>
      <c r="E500" s="140"/>
      <c r="F500" s="140"/>
      <c r="J500" s="140"/>
      <c r="K500" s="140"/>
      <c r="L500" s="140"/>
      <c r="M500" s="140"/>
      <c r="N500" s="140"/>
    </row>
    <row r="501" ht="15.75" customHeight="1">
      <c r="A501" s="140"/>
      <c r="B501" s="140"/>
      <c r="C501" s="140"/>
      <c r="D501" s="140"/>
      <c r="E501" s="140"/>
      <c r="F501" s="140"/>
      <c r="J501" s="140"/>
      <c r="K501" s="140"/>
      <c r="L501" s="140"/>
      <c r="M501" s="140"/>
      <c r="N501" s="140"/>
    </row>
    <row r="502" ht="15.75" customHeight="1">
      <c r="A502" s="140"/>
      <c r="B502" s="140"/>
      <c r="C502" s="140"/>
      <c r="D502" s="140"/>
      <c r="E502" s="140"/>
      <c r="F502" s="140"/>
      <c r="J502" s="140"/>
      <c r="K502" s="140"/>
      <c r="L502" s="140"/>
      <c r="M502" s="140"/>
      <c r="N502" s="140"/>
    </row>
    <row r="503" ht="15.75" customHeight="1">
      <c r="A503" s="140"/>
      <c r="B503" s="140"/>
      <c r="C503" s="140"/>
      <c r="D503" s="140"/>
      <c r="E503" s="140"/>
      <c r="F503" s="140"/>
      <c r="J503" s="140"/>
      <c r="K503" s="140"/>
      <c r="L503" s="140"/>
      <c r="M503" s="140"/>
      <c r="N503" s="140"/>
    </row>
    <row r="504" ht="15.75" customHeight="1">
      <c r="A504" s="140"/>
      <c r="B504" s="140"/>
      <c r="C504" s="140"/>
      <c r="D504" s="140"/>
      <c r="E504" s="140"/>
      <c r="F504" s="140"/>
      <c r="J504" s="140"/>
      <c r="K504" s="140"/>
      <c r="L504" s="140"/>
      <c r="M504" s="140"/>
      <c r="N504" s="140"/>
    </row>
    <row r="505" ht="15.75" customHeight="1">
      <c r="A505" s="140"/>
      <c r="B505" s="140"/>
      <c r="C505" s="140"/>
      <c r="D505" s="140"/>
      <c r="E505" s="140"/>
      <c r="F505" s="140"/>
      <c r="J505" s="140"/>
      <c r="K505" s="140"/>
      <c r="L505" s="140"/>
      <c r="M505" s="140"/>
      <c r="N505" s="140"/>
    </row>
    <row r="506" ht="15.75" customHeight="1">
      <c r="A506" s="140"/>
      <c r="B506" s="140"/>
      <c r="C506" s="140"/>
      <c r="D506" s="140"/>
      <c r="E506" s="140"/>
      <c r="F506" s="140"/>
      <c r="J506" s="140"/>
      <c r="K506" s="140"/>
      <c r="L506" s="140"/>
      <c r="M506" s="140"/>
      <c r="N506" s="140"/>
    </row>
    <row r="507" ht="15.75" customHeight="1">
      <c r="A507" s="140"/>
      <c r="B507" s="140"/>
      <c r="C507" s="140"/>
      <c r="D507" s="140"/>
      <c r="E507" s="140"/>
      <c r="F507" s="140"/>
      <c r="J507" s="140"/>
      <c r="K507" s="140"/>
      <c r="L507" s="140"/>
      <c r="M507" s="140"/>
      <c r="N507" s="140"/>
    </row>
    <row r="508" ht="15.75" customHeight="1">
      <c r="A508" s="140"/>
      <c r="B508" s="140"/>
      <c r="C508" s="140"/>
      <c r="D508" s="140"/>
      <c r="E508" s="140"/>
      <c r="F508" s="140"/>
      <c r="J508" s="140"/>
      <c r="K508" s="140"/>
      <c r="L508" s="140"/>
      <c r="M508" s="140"/>
      <c r="N508" s="140"/>
    </row>
    <row r="509" ht="15.75" customHeight="1">
      <c r="A509" s="140"/>
      <c r="B509" s="140"/>
      <c r="C509" s="140"/>
      <c r="D509" s="140"/>
      <c r="E509" s="140"/>
      <c r="F509" s="140"/>
      <c r="J509" s="140"/>
      <c r="K509" s="140"/>
      <c r="L509" s="140"/>
      <c r="M509" s="140"/>
      <c r="N509" s="140"/>
    </row>
    <row r="510" ht="15.75" customHeight="1">
      <c r="A510" s="140"/>
      <c r="B510" s="140"/>
      <c r="C510" s="140"/>
      <c r="D510" s="140"/>
      <c r="E510" s="140"/>
      <c r="F510" s="140"/>
      <c r="J510" s="140"/>
      <c r="K510" s="140"/>
      <c r="L510" s="140"/>
      <c r="M510" s="140"/>
      <c r="N510" s="140"/>
    </row>
    <row r="511" ht="15.75" customHeight="1">
      <c r="A511" s="140"/>
      <c r="B511" s="140"/>
      <c r="C511" s="140"/>
      <c r="D511" s="140"/>
      <c r="E511" s="140"/>
      <c r="F511" s="140"/>
      <c r="J511" s="140"/>
      <c r="K511" s="140"/>
      <c r="L511" s="140"/>
      <c r="M511" s="140"/>
      <c r="N511" s="140"/>
    </row>
    <row r="512" ht="15.75" customHeight="1">
      <c r="A512" s="140"/>
      <c r="B512" s="140"/>
      <c r="C512" s="140"/>
      <c r="D512" s="140"/>
      <c r="E512" s="140"/>
      <c r="F512" s="140"/>
      <c r="J512" s="140"/>
      <c r="K512" s="140"/>
      <c r="L512" s="140"/>
      <c r="M512" s="140"/>
      <c r="N512" s="140"/>
    </row>
    <row r="513" ht="15.75" customHeight="1">
      <c r="A513" s="140"/>
      <c r="B513" s="140"/>
      <c r="C513" s="140"/>
      <c r="D513" s="140"/>
      <c r="E513" s="140"/>
      <c r="F513" s="140"/>
      <c r="J513" s="140"/>
      <c r="K513" s="140"/>
      <c r="L513" s="140"/>
      <c r="M513" s="140"/>
      <c r="N513" s="140"/>
    </row>
    <row r="514" ht="15.75" customHeight="1">
      <c r="A514" s="140"/>
      <c r="B514" s="140"/>
      <c r="C514" s="140"/>
      <c r="D514" s="140"/>
      <c r="E514" s="140"/>
      <c r="F514" s="140"/>
      <c r="J514" s="140"/>
      <c r="K514" s="140"/>
      <c r="L514" s="140"/>
      <c r="M514" s="140"/>
      <c r="N514" s="140"/>
    </row>
    <row r="515" ht="15.75" customHeight="1">
      <c r="A515" s="140"/>
      <c r="B515" s="140"/>
      <c r="C515" s="140"/>
      <c r="D515" s="140"/>
      <c r="E515" s="140"/>
      <c r="F515" s="140"/>
      <c r="J515" s="140"/>
      <c r="K515" s="140"/>
      <c r="L515" s="140"/>
      <c r="M515" s="140"/>
      <c r="N515" s="140"/>
    </row>
    <row r="516" ht="15.75" customHeight="1">
      <c r="A516" s="140"/>
      <c r="B516" s="140"/>
      <c r="C516" s="140"/>
      <c r="D516" s="140"/>
      <c r="E516" s="140"/>
      <c r="F516" s="140"/>
      <c r="J516" s="140"/>
      <c r="K516" s="140"/>
      <c r="L516" s="140"/>
      <c r="M516" s="140"/>
      <c r="N516" s="140"/>
    </row>
    <row r="517" ht="15.75" customHeight="1">
      <c r="A517" s="140"/>
      <c r="B517" s="140"/>
      <c r="C517" s="140"/>
      <c r="D517" s="140"/>
      <c r="E517" s="140"/>
      <c r="F517" s="140"/>
      <c r="J517" s="140"/>
      <c r="K517" s="140"/>
      <c r="L517" s="140"/>
      <c r="M517" s="140"/>
      <c r="N517" s="140"/>
    </row>
    <row r="518" ht="15.75" customHeight="1">
      <c r="A518" s="140"/>
      <c r="B518" s="140"/>
      <c r="C518" s="140"/>
      <c r="D518" s="140"/>
      <c r="E518" s="140"/>
      <c r="F518" s="140"/>
      <c r="J518" s="140"/>
      <c r="K518" s="140"/>
      <c r="L518" s="140"/>
      <c r="M518" s="140"/>
      <c r="N518" s="140"/>
    </row>
    <row r="519" ht="15.75" customHeight="1">
      <c r="A519" s="140"/>
      <c r="B519" s="140"/>
      <c r="C519" s="140"/>
      <c r="D519" s="140"/>
      <c r="E519" s="140"/>
      <c r="F519" s="140"/>
      <c r="J519" s="140"/>
      <c r="K519" s="140"/>
      <c r="L519" s="140"/>
      <c r="M519" s="140"/>
      <c r="N519" s="140"/>
    </row>
    <row r="520" ht="15.75" customHeight="1">
      <c r="A520" s="140"/>
      <c r="B520" s="140"/>
      <c r="C520" s="140"/>
      <c r="D520" s="140"/>
      <c r="E520" s="140"/>
      <c r="F520" s="140"/>
      <c r="J520" s="140"/>
      <c r="K520" s="140"/>
      <c r="L520" s="140"/>
      <c r="M520" s="140"/>
      <c r="N520" s="140"/>
    </row>
    <row r="521" ht="15.75" customHeight="1">
      <c r="A521" s="140"/>
      <c r="B521" s="140"/>
      <c r="C521" s="140"/>
      <c r="D521" s="140"/>
      <c r="E521" s="140"/>
      <c r="F521" s="140"/>
      <c r="J521" s="140"/>
      <c r="K521" s="140"/>
      <c r="L521" s="140"/>
      <c r="M521" s="140"/>
      <c r="N521" s="140"/>
    </row>
    <row r="522" ht="15.75" customHeight="1">
      <c r="A522" s="140"/>
      <c r="B522" s="140"/>
      <c r="C522" s="140"/>
      <c r="D522" s="140"/>
      <c r="E522" s="140"/>
      <c r="F522" s="140"/>
      <c r="J522" s="140"/>
      <c r="K522" s="140"/>
      <c r="L522" s="140"/>
      <c r="M522" s="140"/>
      <c r="N522" s="140"/>
    </row>
    <row r="523" ht="15.75" customHeight="1">
      <c r="A523" s="140"/>
      <c r="B523" s="140"/>
      <c r="C523" s="140"/>
      <c r="D523" s="140"/>
      <c r="E523" s="140"/>
      <c r="F523" s="140"/>
      <c r="J523" s="140"/>
      <c r="K523" s="140"/>
      <c r="L523" s="140"/>
      <c r="M523" s="140"/>
      <c r="N523" s="140"/>
    </row>
    <row r="524" ht="15.75" customHeight="1">
      <c r="A524" s="140"/>
      <c r="B524" s="140"/>
      <c r="C524" s="140"/>
      <c r="D524" s="140"/>
      <c r="E524" s="140"/>
      <c r="F524" s="140"/>
      <c r="J524" s="140"/>
      <c r="K524" s="140"/>
      <c r="L524" s="140"/>
      <c r="M524" s="140"/>
      <c r="N524" s="140"/>
    </row>
    <row r="525" ht="15.75" customHeight="1">
      <c r="A525" s="140"/>
      <c r="B525" s="140"/>
      <c r="C525" s="140"/>
      <c r="D525" s="140"/>
      <c r="E525" s="140"/>
      <c r="F525" s="140"/>
      <c r="J525" s="140"/>
      <c r="K525" s="140"/>
      <c r="L525" s="140"/>
      <c r="M525" s="140"/>
      <c r="N525" s="140"/>
    </row>
    <row r="526" ht="15.75" customHeight="1">
      <c r="A526" s="140"/>
      <c r="B526" s="140"/>
      <c r="C526" s="140"/>
      <c r="D526" s="140"/>
      <c r="E526" s="140"/>
      <c r="F526" s="140"/>
      <c r="J526" s="140"/>
      <c r="K526" s="140"/>
      <c r="L526" s="140"/>
      <c r="M526" s="140"/>
      <c r="N526" s="140"/>
    </row>
    <row r="527" ht="15.75" customHeight="1">
      <c r="A527" s="140"/>
      <c r="B527" s="140"/>
      <c r="C527" s="140"/>
      <c r="D527" s="140"/>
      <c r="E527" s="140"/>
      <c r="F527" s="140"/>
      <c r="J527" s="140"/>
      <c r="K527" s="140"/>
      <c r="L527" s="140"/>
      <c r="M527" s="140"/>
      <c r="N527" s="140"/>
    </row>
    <row r="528" ht="15.75" customHeight="1">
      <c r="A528" s="140"/>
      <c r="B528" s="140"/>
      <c r="C528" s="140"/>
      <c r="D528" s="140"/>
      <c r="E528" s="140"/>
      <c r="F528" s="140"/>
      <c r="J528" s="140"/>
      <c r="K528" s="140"/>
      <c r="L528" s="140"/>
      <c r="M528" s="140"/>
      <c r="N528" s="140"/>
    </row>
    <row r="529" ht="15.75" customHeight="1">
      <c r="A529" s="140"/>
      <c r="B529" s="140"/>
      <c r="C529" s="140"/>
      <c r="D529" s="140"/>
      <c r="E529" s="140"/>
      <c r="F529" s="140"/>
      <c r="J529" s="140"/>
      <c r="K529" s="140"/>
      <c r="L529" s="140"/>
      <c r="M529" s="140"/>
      <c r="N529" s="140"/>
    </row>
    <row r="530" ht="15.75" customHeight="1">
      <c r="A530" s="140"/>
      <c r="B530" s="140"/>
      <c r="C530" s="140"/>
      <c r="D530" s="140"/>
      <c r="E530" s="140"/>
      <c r="F530" s="140"/>
      <c r="J530" s="140"/>
      <c r="K530" s="140"/>
      <c r="L530" s="140"/>
      <c r="M530" s="140"/>
      <c r="N530" s="140"/>
    </row>
    <row r="531" ht="15.75" customHeight="1">
      <c r="A531" s="140"/>
      <c r="B531" s="140"/>
      <c r="C531" s="140"/>
      <c r="D531" s="140"/>
      <c r="E531" s="140"/>
      <c r="F531" s="140"/>
      <c r="J531" s="140"/>
      <c r="K531" s="140"/>
      <c r="L531" s="140"/>
      <c r="M531" s="140"/>
      <c r="N531" s="140"/>
    </row>
    <row r="532" ht="15.75" customHeight="1">
      <c r="A532" s="140"/>
      <c r="B532" s="140"/>
      <c r="C532" s="140"/>
      <c r="D532" s="140"/>
      <c r="E532" s="140"/>
      <c r="F532" s="140"/>
      <c r="J532" s="140"/>
      <c r="K532" s="140"/>
      <c r="L532" s="140"/>
      <c r="M532" s="140"/>
      <c r="N532" s="140"/>
    </row>
    <row r="533" ht="15.75" customHeight="1">
      <c r="A533" s="140"/>
      <c r="B533" s="140"/>
      <c r="C533" s="140"/>
      <c r="D533" s="140"/>
      <c r="E533" s="140"/>
      <c r="F533" s="140"/>
      <c r="J533" s="140"/>
      <c r="K533" s="140"/>
      <c r="L533" s="140"/>
      <c r="M533" s="140"/>
      <c r="N533" s="140"/>
    </row>
    <row r="534" ht="15.75" customHeight="1">
      <c r="A534" s="140"/>
      <c r="B534" s="140"/>
      <c r="C534" s="140"/>
      <c r="D534" s="140"/>
      <c r="E534" s="140"/>
      <c r="F534" s="140"/>
      <c r="J534" s="140"/>
      <c r="K534" s="140"/>
      <c r="L534" s="140"/>
      <c r="M534" s="140"/>
      <c r="N534" s="140"/>
    </row>
    <row r="535" ht="15.75" customHeight="1">
      <c r="A535" s="140"/>
      <c r="B535" s="140"/>
      <c r="C535" s="140"/>
      <c r="D535" s="140"/>
      <c r="E535" s="140"/>
      <c r="F535" s="140"/>
      <c r="J535" s="140"/>
      <c r="K535" s="140"/>
      <c r="L535" s="140"/>
      <c r="M535" s="140"/>
      <c r="N535" s="140"/>
    </row>
    <row r="536" ht="15.75" customHeight="1">
      <c r="A536" s="140"/>
      <c r="B536" s="140"/>
      <c r="C536" s="140"/>
      <c r="D536" s="140"/>
      <c r="E536" s="140"/>
      <c r="F536" s="140"/>
      <c r="J536" s="140"/>
      <c r="K536" s="140"/>
      <c r="L536" s="140"/>
      <c r="M536" s="140"/>
      <c r="N536" s="140"/>
    </row>
    <row r="537" ht="15.75" customHeight="1">
      <c r="A537" s="140"/>
      <c r="B537" s="140"/>
      <c r="C537" s="140"/>
      <c r="D537" s="140"/>
      <c r="E537" s="140"/>
      <c r="F537" s="140"/>
      <c r="J537" s="140"/>
      <c r="K537" s="140"/>
      <c r="L537" s="140"/>
      <c r="M537" s="140"/>
      <c r="N537" s="140"/>
    </row>
    <row r="538" ht="15.75" customHeight="1">
      <c r="A538" s="140"/>
      <c r="B538" s="140"/>
      <c r="C538" s="140"/>
      <c r="D538" s="140"/>
      <c r="E538" s="140"/>
      <c r="F538" s="140"/>
      <c r="J538" s="140"/>
      <c r="K538" s="140"/>
      <c r="L538" s="140"/>
      <c r="M538" s="140"/>
      <c r="N538" s="140"/>
    </row>
    <row r="539" ht="15.75" customHeight="1">
      <c r="A539" s="140"/>
      <c r="B539" s="140"/>
      <c r="C539" s="140"/>
      <c r="D539" s="140"/>
      <c r="E539" s="140"/>
      <c r="F539" s="140"/>
      <c r="J539" s="140"/>
      <c r="K539" s="140"/>
      <c r="L539" s="140"/>
      <c r="M539" s="140"/>
      <c r="N539" s="140"/>
    </row>
    <row r="540" ht="15.75" customHeight="1">
      <c r="A540" s="140"/>
      <c r="B540" s="140"/>
      <c r="C540" s="140"/>
      <c r="D540" s="140"/>
      <c r="E540" s="140"/>
      <c r="F540" s="140"/>
      <c r="J540" s="140"/>
      <c r="K540" s="140"/>
      <c r="L540" s="140"/>
      <c r="M540" s="140"/>
      <c r="N540" s="140"/>
    </row>
    <row r="541" ht="15.75" customHeight="1">
      <c r="A541" s="140"/>
      <c r="B541" s="140"/>
      <c r="C541" s="140"/>
      <c r="D541" s="140"/>
      <c r="E541" s="140"/>
      <c r="F541" s="140"/>
      <c r="J541" s="140"/>
      <c r="K541" s="140"/>
      <c r="L541" s="140"/>
      <c r="M541" s="140"/>
      <c r="N541" s="140"/>
    </row>
    <row r="542" ht="15.75" customHeight="1">
      <c r="A542" s="140"/>
      <c r="B542" s="140"/>
      <c r="C542" s="140"/>
      <c r="D542" s="140"/>
      <c r="E542" s="140"/>
      <c r="F542" s="140"/>
      <c r="J542" s="140"/>
      <c r="K542" s="140"/>
      <c r="L542" s="140"/>
      <c r="M542" s="140"/>
      <c r="N542" s="140"/>
    </row>
    <row r="543" ht="15.75" customHeight="1">
      <c r="A543" s="140"/>
      <c r="B543" s="140"/>
      <c r="C543" s="140"/>
      <c r="D543" s="140"/>
      <c r="E543" s="140"/>
      <c r="F543" s="140"/>
      <c r="J543" s="140"/>
      <c r="K543" s="140"/>
      <c r="L543" s="140"/>
      <c r="M543" s="140"/>
      <c r="N543" s="140"/>
    </row>
    <row r="544" ht="15.75" customHeight="1">
      <c r="A544" s="140"/>
      <c r="B544" s="140"/>
      <c r="C544" s="140"/>
      <c r="D544" s="140"/>
      <c r="E544" s="140"/>
      <c r="F544" s="140"/>
      <c r="J544" s="140"/>
      <c r="K544" s="140"/>
      <c r="L544" s="140"/>
      <c r="M544" s="140"/>
      <c r="N544" s="140"/>
    </row>
    <row r="545" ht="15.75" customHeight="1">
      <c r="A545" s="140"/>
      <c r="B545" s="140"/>
      <c r="C545" s="140"/>
      <c r="D545" s="140"/>
      <c r="E545" s="140"/>
      <c r="F545" s="140"/>
      <c r="J545" s="140"/>
      <c r="K545" s="140"/>
      <c r="L545" s="140"/>
      <c r="M545" s="140"/>
      <c r="N545" s="140"/>
    </row>
    <row r="546" ht="15.75" customHeight="1">
      <c r="A546" s="140"/>
      <c r="B546" s="140"/>
      <c r="C546" s="140"/>
      <c r="D546" s="140"/>
      <c r="E546" s="140"/>
      <c r="F546" s="140"/>
      <c r="J546" s="140"/>
      <c r="K546" s="140"/>
      <c r="L546" s="140"/>
      <c r="M546" s="140"/>
      <c r="N546" s="140"/>
    </row>
    <row r="547" ht="15.75" customHeight="1">
      <c r="A547" s="140"/>
      <c r="B547" s="140"/>
      <c r="C547" s="140"/>
      <c r="D547" s="140"/>
      <c r="E547" s="140"/>
      <c r="F547" s="140"/>
      <c r="J547" s="140"/>
      <c r="K547" s="140"/>
      <c r="L547" s="140"/>
      <c r="M547" s="140"/>
      <c r="N547" s="140"/>
    </row>
    <row r="548" ht="15.75" customHeight="1">
      <c r="A548" s="140"/>
      <c r="B548" s="140"/>
      <c r="C548" s="140"/>
      <c r="D548" s="140"/>
      <c r="E548" s="140"/>
      <c r="F548" s="140"/>
      <c r="J548" s="140"/>
      <c r="K548" s="140"/>
      <c r="L548" s="140"/>
      <c r="M548" s="140"/>
      <c r="N548" s="140"/>
    </row>
    <row r="549" ht="15.75" customHeight="1">
      <c r="A549" s="140"/>
      <c r="B549" s="140"/>
      <c r="C549" s="140"/>
      <c r="D549" s="140"/>
      <c r="E549" s="140"/>
      <c r="F549" s="140"/>
      <c r="J549" s="140"/>
      <c r="K549" s="140"/>
      <c r="L549" s="140"/>
      <c r="M549" s="140"/>
      <c r="N549" s="140"/>
    </row>
    <row r="550" ht="15.75" customHeight="1">
      <c r="A550" s="140"/>
      <c r="B550" s="140"/>
      <c r="C550" s="140"/>
      <c r="D550" s="140"/>
      <c r="E550" s="140"/>
      <c r="F550" s="140"/>
      <c r="J550" s="140"/>
      <c r="K550" s="140"/>
      <c r="L550" s="140"/>
      <c r="M550" s="140"/>
      <c r="N550" s="140"/>
    </row>
    <row r="551" ht="15.75" customHeight="1">
      <c r="A551" s="140"/>
      <c r="B551" s="140"/>
      <c r="C551" s="140"/>
      <c r="D551" s="140"/>
      <c r="E551" s="140"/>
      <c r="F551" s="140"/>
      <c r="J551" s="140"/>
      <c r="K551" s="140"/>
      <c r="L551" s="140"/>
      <c r="M551" s="140"/>
      <c r="N551" s="140"/>
    </row>
    <row r="552" ht="15.75" customHeight="1">
      <c r="A552" s="140"/>
      <c r="B552" s="140"/>
      <c r="C552" s="140"/>
      <c r="D552" s="140"/>
      <c r="E552" s="140"/>
      <c r="F552" s="140"/>
      <c r="J552" s="140"/>
      <c r="K552" s="140"/>
      <c r="L552" s="140"/>
      <c r="M552" s="140"/>
      <c r="N552" s="140"/>
    </row>
    <row r="553" ht="15.75" customHeight="1">
      <c r="A553" s="140"/>
      <c r="B553" s="140"/>
      <c r="C553" s="140"/>
      <c r="D553" s="140"/>
      <c r="E553" s="140"/>
      <c r="F553" s="140"/>
      <c r="J553" s="140"/>
      <c r="K553" s="140"/>
      <c r="L553" s="140"/>
      <c r="M553" s="140"/>
      <c r="N553" s="140"/>
    </row>
    <row r="554" ht="15.75" customHeight="1">
      <c r="A554" s="140"/>
      <c r="B554" s="140"/>
      <c r="C554" s="140"/>
      <c r="D554" s="140"/>
      <c r="E554" s="140"/>
      <c r="F554" s="140"/>
      <c r="J554" s="140"/>
      <c r="K554" s="140"/>
      <c r="L554" s="140"/>
      <c r="M554" s="140"/>
      <c r="N554" s="140"/>
    </row>
    <row r="555" ht="15.75" customHeight="1">
      <c r="A555" s="140"/>
      <c r="B555" s="140"/>
      <c r="C555" s="140"/>
      <c r="D555" s="140"/>
      <c r="E555" s="140"/>
      <c r="F555" s="140"/>
      <c r="J555" s="140"/>
      <c r="K555" s="140"/>
      <c r="L555" s="140"/>
      <c r="M555" s="140"/>
      <c r="N555" s="140"/>
    </row>
    <row r="556" ht="15.75" customHeight="1">
      <c r="A556" s="140"/>
      <c r="B556" s="140"/>
      <c r="C556" s="140"/>
      <c r="D556" s="140"/>
      <c r="E556" s="140"/>
      <c r="F556" s="140"/>
      <c r="J556" s="140"/>
      <c r="K556" s="140"/>
      <c r="L556" s="140"/>
      <c r="M556" s="140"/>
      <c r="N556" s="140"/>
    </row>
    <row r="557" ht="15.75" customHeight="1">
      <c r="A557" s="140"/>
      <c r="B557" s="140"/>
      <c r="C557" s="140"/>
      <c r="D557" s="140"/>
      <c r="E557" s="140"/>
      <c r="F557" s="140"/>
      <c r="J557" s="140"/>
      <c r="K557" s="140"/>
      <c r="L557" s="140"/>
      <c r="M557" s="140"/>
      <c r="N557" s="140"/>
    </row>
    <row r="558" ht="15.75" customHeight="1">
      <c r="A558" s="140"/>
      <c r="B558" s="140"/>
      <c r="C558" s="140"/>
      <c r="D558" s="140"/>
      <c r="E558" s="140"/>
      <c r="F558" s="140"/>
      <c r="J558" s="140"/>
      <c r="K558" s="140"/>
      <c r="L558" s="140"/>
      <c r="M558" s="140"/>
      <c r="N558" s="140"/>
    </row>
    <row r="559" ht="15.75" customHeight="1">
      <c r="A559" s="140"/>
      <c r="B559" s="140"/>
      <c r="C559" s="140"/>
      <c r="D559" s="140"/>
      <c r="E559" s="140"/>
      <c r="F559" s="140"/>
      <c r="J559" s="140"/>
      <c r="K559" s="140"/>
      <c r="L559" s="140"/>
      <c r="M559" s="140"/>
      <c r="N559" s="140"/>
    </row>
    <row r="560" ht="15.75" customHeight="1">
      <c r="A560" s="140"/>
      <c r="B560" s="140"/>
      <c r="C560" s="140"/>
      <c r="D560" s="140"/>
      <c r="E560" s="140"/>
      <c r="F560" s="140"/>
      <c r="J560" s="140"/>
      <c r="K560" s="140"/>
      <c r="L560" s="140"/>
      <c r="M560" s="140"/>
      <c r="N560" s="140"/>
    </row>
    <row r="561" ht="15.75" customHeight="1">
      <c r="A561" s="140"/>
      <c r="B561" s="140"/>
      <c r="C561" s="140"/>
      <c r="D561" s="140"/>
      <c r="E561" s="140"/>
      <c r="F561" s="140"/>
      <c r="J561" s="140"/>
      <c r="K561" s="140"/>
      <c r="L561" s="140"/>
      <c r="M561" s="140"/>
      <c r="N561" s="140"/>
    </row>
    <row r="562" ht="15.75" customHeight="1">
      <c r="A562" s="140"/>
      <c r="B562" s="140"/>
      <c r="C562" s="140"/>
      <c r="D562" s="140"/>
      <c r="E562" s="140"/>
      <c r="F562" s="140"/>
      <c r="J562" s="140"/>
      <c r="K562" s="140"/>
      <c r="L562" s="140"/>
      <c r="M562" s="140"/>
      <c r="N562" s="140"/>
    </row>
    <row r="563" ht="15.75" customHeight="1">
      <c r="A563" s="140"/>
      <c r="B563" s="140"/>
      <c r="C563" s="140"/>
      <c r="D563" s="140"/>
      <c r="E563" s="140"/>
      <c r="F563" s="140"/>
      <c r="J563" s="140"/>
      <c r="K563" s="140"/>
      <c r="L563" s="140"/>
      <c r="M563" s="140"/>
      <c r="N563" s="140"/>
    </row>
    <row r="564" ht="15.75" customHeight="1">
      <c r="A564" s="140"/>
      <c r="B564" s="140"/>
      <c r="C564" s="140"/>
      <c r="D564" s="140"/>
      <c r="E564" s="140"/>
      <c r="F564" s="140"/>
      <c r="J564" s="140"/>
      <c r="K564" s="140"/>
      <c r="L564" s="140"/>
      <c r="M564" s="140"/>
      <c r="N564" s="140"/>
    </row>
    <row r="565" ht="15.75" customHeight="1">
      <c r="A565" s="140"/>
      <c r="B565" s="140"/>
      <c r="C565" s="140"/>
      <c r="D565" s="140"/>
      <c r="E565" s="140"/>
      <c r="F565" s="140"/>
      <c r="J565" s="140"/>
      <c r="K565" s="140"/>
      <c r="L565" s="140"/>
      <c r="M565" s="140"/>
      <c r="N565" s="140"/>
    </row>
    <row r="566" ht="15.75" customHeight="1">
      <c r="A566" s="140"/>
      <c r="B566" s="140"/>
      <c r="C566" s="140"/>
      <c r="D566" s="140"/>
      <c r="E566" s="140"/>
      <c r="F566" s="140"/>
      <c r="J566" s="140"/>
      <c r="K566" s="140"/>
      <c r="L566" s="140"/>
      <c r="M566" s="140"/>
      <c r="N566" s="140"/>
    </row>
    <row r="567" ht="15.75" customHeight="1">
      <c r="A567" s="140"/>
      <c r="B567" s="140"/>
      <c r="C567" s="140"/>
      <c r="D567" s="140"/>
      <c r="E567" s="140"/>
      <c r="F567" s="140"/>
      <c r="J567" s="140"/>
      <c r="K567" s="140"/>
      <c r="L567" s="140"/>
      <c r="M567" s="140"/>
      <c r="N567" s="140"/>
    </row>
    <row r="568" ht="15.75" customHeight="1">
      <c r="A568" s="140"/>
      <c r="B568" s="140"/>
      <c r="C568" s="140"/>
      <c r="D568" s="140"/>
      <c r="E568" s="140"/>
      <c r="F568" s="140"/>
      <c r="J568" s="140"/>
      <c r="K568" s="140"/>
      <c r="L568" s="140"/>
      <c r="M568" s="140"/>
      <c r="N568" s="140"/>
    </row>
    <row r="569" ht="15.75" customHeight="1">
      <c r="A569" s="140"/>
      <c r="B569" s="140"/>
      <c r="C569" s="140"/>
      <c r="D569" s="140"/>
      <c r="E569" s="140"/>
      <c r="F569" s="140"/>
      <c r="J569" s="140"/>
      <c r="K569" s="140"/>
      <c r="L569" s="140"/>
      <c r="M569" s="140"/>
      <c r="N569" s="140"/>
    </row>
    <row r="570" ht="15.75" customHeight="1">
      <c r="A570" s="140"/>
      <c r="B570" s="140"/>
      <c r="C570" s="140"/>
      <c r="D570" s="140"/>
      <c r="E570" s="140"/>
      <c r="F570" s="140"/>
      <c r="J570" s="140"/>
      <c r="K570" s="140"/>
      <c r="L570" s="140"/>
      <c r="M570" s="140"/>
      <c r="N570" s="140"/>
    </row>
    <row r="571" ht="15.75" customHeight="1">
      <c r="A571" s="140"/>
      <c r="B571" s="140"/>
      <c r="C571" s="140"/>
      <c r="D571" s="140"/>
      <c r="E571" s="140"/>
      <c r="F571" s="140"/>
      <c r="J571" s="140"/>
      <c r="K571" s="140"/>
      <c r="L571" s="140"/>
      <c r="M571" s="140"/>
      <c r="N571" s="140"/>
    </row>
    <row r="572" ht="15.75" customHeight="1">
      <c r="A572" s="140"/>
      <c r="B572" s="140"/>
      <c r="C572" s="140"/>
      <c r="D572" s="140"/>
      <c r="E572" s="140"/>
      <c r="F572" s="140"/>
      <c r="J572" s="140"/>
      <c r="K572" s="140"/>
      <c r="L572" s="140"/>
      <c r="M572" s="140"/>
      <c r="N572" s="140"/>
    </row>
    <row r="573" ht="15.75" customHeight="1">
      <c r="A573" s="140"/>
      <c r="B573" s="140"/>
      <c r="C573" s="140"/>
      <c r="D573" s="140"/>
      <c r="E573" s="140"/>
      <c r="F573" s="140"/>
      <c r="J573" s="140"/>
      <c r="K573" s="140"/>
      <c r="L573" s="140"/>
      <c r="M573" s="140"/>
      <c r="N573" s="140"/>
    </row>
    <row r="574" ht="15.75" customHeight="1">
      <c r="A574" s="140"/>
      <c r="B574" s="140"/>
      <c r="C574" s="140"/>
      <c r="D574" s="140"/>
      <c r="E574" s="140"/>
      <c r="F574" s="140"/>
      <c r="J574" s="140"/>
      <c r="K574" s="140"/>
      <c r="L574" s="140"/>
      <c r="M574" s="140"/>
      <c r="N574" s="140"/>
    </row>
    <row r="575" ht="15.75" customHeight="1">
      <c r="A575" s="140"/>
      <c r="B575" s="140"/>
      <c r="C575" s="140"/>
      <c r="D575" s="140"/>
      <c r="E575" s="140"/>
      <c r="F575" s="140"/>
      <c r="J575" s="140"/>
      <c r="K575" s="140"/>
      <c r="L575" s="140"/>
      <c r="M575" s="140"/>
      <c r="N575" s="140"/>
    </row>
    <row r="576" ht="15.75" customHeight="1">
      <c r="A576" s="140"/>
      <c r="B576" s="140"/>
      <c r="C576" s="140"/>
      <c r="D576" s="140"/>
      <c r="E576" s="140"/>
      <c r="F576" s="140"/>
      <c r="J576" s="140"/>
      <c r="K576" s="140"/>
      <c r="L576" s="140"/>
      <c r="M576" s="140"/>
      <c r="N576" s="140"/>
    </row>
    <row r="577" ht="15.75" customHeight="1">
      <c r="A577" s="140"/>
      <c r="B577" s="140"/>
      <c r="C577" s="140"/>
      <c r="D577" s="140"/>
      <c r="E577" s="140"/>
      <c r="F577" s="140"/>
      <c r="J577" s="140"/>
      <c r="K577" s="140"/>
      <c r="L577" s="140"/>
      <c r="M577" s="140"/>
      <c r="N577" s="140"/>
    </row>
    <row r="578" ht="15.75" customHeight="1">
      <c r="A578" s="140"/>
      <c r="B578" s="140"/>
      <c r="C578" s="140"/>
      <c r="D578" s="140"/>
      <c r="E578" s="140"/>
      <c r="F578" s="140"/>
      <c r="J578" s="140"/>
      <c r="K578" s="140"/>
      <c r="L578" s="140"/>
      <c r="M578" s="140"/>
      <c r="N578" s="140"/>
    </row>
    <row r="579" ht="15.75" customHeight="1">
      <c r="A579" s="140"/>
      <c r="B579" s="140"/>
      <c r="C579" s="140"/>
      <c r="D579" s="140"/>
      <c r="E579" s="140"/>
      <c r="F579" s="140"/>
      <c r="J579" s="140"/>
      <c r="K579" s="140"/>
      <c r="L579" s="140"/>
      <c r="M579" s="140"/>
      <c r="N579" s="140"/>
    </row>
    <row r="580" ht="15.75" customHeight="1">
      <c r="A580" s="140"/>
      <c r="B580" s="140"/>
      <c r="C580" s="140"/>
      <c r="D580" s="140"/>
      <c r="E580" s="140"/>
      <c r="F580" s="140"/>
      <c r="J580" s="140"/>
      <c r="K580" s="140"/>
      <c r="L580" s="140"/>
      <c r="M580" s="140"/>
      <c r="N580" s="140"/>
    </row>
    <row r="581" ht="15.75" customHeight="1">
      <c r="A581" s="140"/>
      <c r="B581" s="140"/>
      <c r="C581" s="140"/>
      <c r="D581" s="140"/>
      <c r="E581" s="140"/>
      <c r="F581" s="140"/>
      <c r="J581" s="140"/>
      <c r="K581" s="140"/>
      <c r="L581" s="140"/>
      <c r="M581" s="140"/>
      <c r="N581" s="140"/>
    </row>
    <row r="582" ht="15.75" customHeight="1">
      <c r="A582" s="140"/>
      <c r="B582" s="140"/>
      <c r="C582" s="140"/>
      <c r="D582" s="140"/>
      <c r="E582" s="140"/>
      <c r="F582" s="140"/>
      <c r="J582" s="140"/>
      <c r="K582" s="140"/>
      <c r="L582" s="140"/>
      <c r="M582" s="140"/>
      <c r="N582" s="140"/>
    </row>
    <row r="583" ht="15.75" customHeight="1">
      <c r="A583" s="140"/>
      <c r="B583" s="140"/>
      <c r="C583" s="140"/>
      <c r="D583" s="140"/>
      <c r="E583" s="140"/>
      <c r="F583" s="140"/>
      <c r="J583" s="140"/>
      <c r="K583" s="140"/>
      <c r="L583" s="140"/>
      <c r="M583" s="140"/>
      <c r="N583" s="140"/>
    </row>
    <row r="584" ht="15.75" customHeight="1">
      <c r="A584" s="140"/>
      <c r="B584" s="140"/>
      <c r="C584" s="140"/>
      <c r="D584" s="140"/>
      <c r="E584" s="140"/>
      <c r="F584" s="140"/>
      <c r="J584" s="140"/>
      <c r="K584" s="140"/>
      <c r="L584" s="140"/>
      <c r="M584" s="140"/>
      <c r="N584" s="140"/>
    </row>
    <row r="585" ht="15.75" customHeight="1">
      <c r="A585" s="140"/>
      <c r="B585" s="140"/>
      <c r="C585" s="140"/>
      <c r="D585" s="140"/>
      <c r="E585" s="140"/>
      <c r="F585" s="140"/>
      <c r="J585" s="140"/>
      <c r="K585" s="140"/>
      <c r="L585" s="140"/>
      <c r="M585" s="140"/>
      <c r="N585" s="140"/>
    </row>
    <row r="586" ht="15.75" customHeight="1">
      <c r="A586" s="140"/>
      <c r="B586" s="140"/>
      <c r="C586" s="140"/>
      <c r="D586" s="140"/>
      <c r="E586" s="140"/>
      <c r="F586" s="140"/>
      <c r="J586" s="140"/>
      <c r="K586" s="140"/>
      <c r="L586" s="140"/>
      <c r="M586" s="140"/>
      <c r="N586" s="140"/>
    </row>
    <row r="587" ht="15.75" customHeight="1">
      <c r="A587" s="140"/>
      <c r="B587" s="140"/>
      <c r="C587" s="140"/>
      <c r="D587" s="140"/>
      <c r="E587" s="140"/>
      <c r="F587" s="140"/>
      <c r="J587" s="140"/>
      <c r="K587" s="140"/>
      <c r="L587" s="140"/>
      <c r="M587" s="140"/>
      <c r="N587" s="140"/>
    </row>
    <row r="588" ht="15.75" customHeight="1">
      <c r="A588" s="140"/>
      <c r="B588" s="140"/>
      <c r="C588" s="140"/>
      <c r="D588" s="140"/>
      <c r="E588" s="140"/>
      <c r="F588" s="140"/>
      <c r="J588" s="140"/>
      <c r="K588" s="140"/>
      <c r="L588" s="140"/>
      <c r="M588" s="140"/>
      <c r="N588" s="140"/>
    </row>
    <row r="589" ht="15.75" customHeight="1">
      <c r="A589" s="140"/>
      <c r="B589" s="140"/>
      <c r="C589" s="140"/>
      <c r="D589" s="140"/>
      <c r="E589" s="140"/>
      <c r="F589" s="140"/>
      <c r="J589" s="140"/>
      <c r="K589" s="140"/>
      <c r="L589" s="140"/>
      <c r="M589" s="140"/>
      <c r="N589" s="140"/>
    </row>
    <row r="590" ht="15.75" customHeight="1">
      <c r="A590" s="140"/>
      <c r="B590" s="140"/>
      <c r="C590" s="140"/>
      <c r="D590" s="140"/>
      <c r="E590" s="140"/>
      <c r="F590" s="140"/>
      <c r="J590" s="140"/>
      <c r="K590" s="140"/>
      <c r="L590" s="140"/>
      <c r="M590" s="140"/>
      <c r="N590" s="140"/>
    </row>
    <row r="591" ht="15.75" customHeight="1">
      <c r="A591" s="140"/>
      <c r="B591" s="140"/>
      <c r="C591" s="140"/>
      <c r="D591" s="140"/>
      <c r="E591" s="140"/>
      <c r="F591" s="140"/>
      <c r="J591" s="140"/>
      <c r="K591" s="140"/>
      <c r="L591" s="140"/>
      <c r="M591" s="140"/>
      <c r="N591" s="140"/>
    </row>
    <row r="592" ht="15.75" customHeight="1">
      <c r="A592" s="140"/>
      <c r="B592" s="140"/>
      <c r="C592" s="140"/>
      <c r="D592" s="140"/>
      <c r="E592" s="140"/>
      <c r="F592" s="140"/>
      <c r="J592" s="140"/>
      <c r="K592" s="140"/>
      <c r="L592" s="140"/>
      <c r="M592" s="140"/>
      <c r="N592" s="140"/>
    </row>
    <row r="593" ht="15.75" customHeight="1">
      <c r="A593" s="140"/>
      <c r="B593" s="140"/>
      <c r="C593" s="140"/>
      <c r="D593" s="140"/>
      <c r="E593" s="140"/>
      <c r="F593" s="140"/>
      <c r="J593" s="140"/>
      <c r="K593" s="140"/>
      <c r="L593" s="140"/>
      <c r="M593" s="140"/>
      <c r="N593" s="140"/>
    </row>
    <row r="594" ht="15.75" customHeight="1">
      <c r="A594" s="140"/>
      <c r="B594" s="140"/>
      <c r="C594" s="140"/>
      <c r="D594" s="140"/>
      <c r="E594" s="140"/>
      <c r="F594" s="140"/>
      <c r="J594" s="140"/>
      <c r="K594" s="140"/>
      <c r="L594" s="140"/>
      <c r="M594" s="140"/>
      <c r="N594" s="140"/>
    </row>
    <row r="595" ht="15.75" customHeight="1">
      <c r="A595" s="140"/>
      <c r="B595" s="140"/>
      <c r="C595" s="140"/>
      <c r="D595" s="140"/>
      <c r="E595" s="140"/>
      <c r="F595" s="140"/>
      <c r="J595" s="140"/>
      <c r="K595" s="140"/>
      <c r="L595" s="140"/>
      <c r="M595" s="140"/>
      <c r="N595" s="140"/>
    </row>
    <row r="596" ht="15.75" customHeight="1">
      <c r="A596" s="140"/>
      <c r="B596" s="140"/>
      <c r="C596" s="140"/>
      <c r="D596" s="140"/>
      <c r="E596" s="140"/>
      <c r="F596" s="140"/>
      <c r="J596" s="140"/>
      <c r="K596" s="140"/>
      <c r="L596" s="140"/>
      <c r="M596" s="140"/>
      <c r="N596" s="140"/>
    </row>
    <row r="597" ht="15.75" customHeight="1">
      <c r="A597" s="140"/>
      <c r="B597" s="140"/>
      <c r="C597" s="140"/>
      <c r="D597" s="140"/>
      <c r="E597" s="140"/>
      <c r="F597" s="140"/>
      <c r="J597" s="140"/>
      <c r="K597" s="140"/>
      <c r="L597" s="140"/>
      <c r="M597" s="140"/>
      <c r="N597" s="140"/>
    </row>
    <row r="598" ht="15.75" customHeight="1">
      <c r="A598" s="140"/>
      <c r="B598" s="140"/>
      <c r="C598" s="140"/>
      <c r="D598" s="140"/>
      <c r="E598" s="140"/>
      <c r="F598" s="140"/>
      <c r="J598" s="140"/>
      <c r="K598" s="140"/>
      <c r="L598" s="140"/>
      <c r="M598" s="140"/>
      <c r="N598" s="140"/>
    </row>
    <row r="599" ht="15.75" customHeight="1">
      <c r="A599" s="140"/>
      <c r="B599" s="140"/>
      <c r="C599" s="140"/>
      <c r="D599" s="140"/>
      <c r="E599" s="140"/>
      <c r="F599" s="140"/>
      <c r="J599" s="140"/>
      <c r="K599" s="140"/>
      <c r="L599" s="140"/>
      <c r="M599" s="140"/>
      <c r="N599" s="140"/>
    </row>
    <row r="600" ht="15.75" customHeight="1">
      <c r="A600" s="140"/>
      <c r="B600" s="140"/>
      <c r="C600" s="140"/>
      <c r="D600" s="140"/>
      <c r="E600" s="140"/>
      <c r="F600" s="140"/>
      <c r="J600" s="140"/>
      <c r="K600" s="140"/>
      <c r="L600" s="140"/>
      <c r="M600" s="140"/>
      <c r="N600" s="140"/>
    </row>
    <row r="601" ht="15.75" customHeight="1">
      <c r="A601" s="140"/>
      <c r="B601" s="140"/>
      <c r="C601" s="140"/>
      <c r="D601" s="140"/>
      <c r="E601" s="140"/>
      <c r="F601" s="140"/>
      <c r="J601" s="140"/>
      <c r="K601" s="140"/>
      <c r="L601" s="140"/>
      <c r="M601" s="140"/>
      <c r="N601" s="140"/>
    </row>
    <row r="602" ht="15.75" customHeight="1">
      <c r="A602" s="140"/>
      <c r="B602" s="140"/>
      <c r="C602" s="140"/>
      <c r="D602" s="140"/>
      <c r="E602" s="140"/>
      <c r="F602" s="140"/>
      <c r="J602" s="140"/>
      <c r="K602" s="140"/>
      <c r="L602" s="140"/>
      <c r="M602" s="140"/>
      <c r="N602" s="140"/>
    </row>
    <row r="603" ht="15.75" customHeight="1">
      <c r="A603" s="140"/>
      <c r="B603" s="140"/>
      <c r="C603" s="140"/>
      <c r="D603" s="140"/>
      <c r="E603" s="140"/>
      <c r="F603" s="140"/>
      <c r="J603" s="140"/>
      <c r="K603" s="140"/>
      <c r="L603" s="140"/>
      <c r="M603" s="140"/>
      <c r="N603" s="140"/>
    </row>
    <row r="604" ht="15.75" customHeight="1">
      <c r="A604" s="140"/>
      <c r="B604" s="140"/>
      <c r="C604" s="140"/>
      <c r="D604" s="140"/>
      <c r="E604" s="140"/>
      <c r="F604" s="140"/>
      <c r="J604" s="140"/>
      <c r="K604" s="140"/>
      <c r="L604" s="140"/>
      <c r="M604" s="140"/>
      <c r="N604" s="140"/>
    </row>
    <row r="605" ht="15.75" customHeight="1">
      <c r="A605" s="140"/>
      <c r="B605" s="140"/>
      <c r="C605" s="140"/>
      <c r="D605" s="140"/>
      <c r="E605" s="140"/>
      <c r="F605" s="140"/>
      <c r="J605" s="140"/>
      <c r="K605" s="140"/>
      <c r="L605" s="140"/>
      <c r="M605" s="140"/>
      <c r="N605" s="140"/>
    </row>
    <row r="606" ht="15.75" customHeight="1">
      <c r="A606" s="140"/>
      <c r="B606" s="140"/>
      <c r="C606" s="140"/>
      <c r="D606" s="140"/>
      <c r="E606" s="140"/>
      <c r="F606" s="140"/>
      <c r="J606" s="140"/>
      <c r="K606" s="140"/>
      <c r="L606" s="140"/>
      <c r="M606" s="140"/>
      <c r="N606" s="140"/>
    </row>
    <row r="607" ht="15.75" customHeight="1">
      <c r="A607" s="140"/>
      <c r="B607" s="140"/>
      <c r="C607" s="140"/>
      <c r="D607" s="140"/>
      <c r="E607" s="140"/>
      <c r="F607" s="140"/>
      <c r="J607" s="140"/>
      <c r="K607" s="140"/>
      <c r="L607" s="140"/>
      <c r="M607" s="140"/>
      <c r="N607" s="140"/>
    </row>
    <row r="608" ht="15.75" customHeight="1">
      <c r="A608" s="140"/>
      <c r="B608" s="140"/>
      <c r="C608" s="140"/>
      <c r="D608" s="140"/>
      <c r="E608" s="140"/>
      <c r="F608" s="140"/>
      <c r="J608" s="140"/>
      <c r="K608" s="140"/>
      <c r="L608" s="140"/>
      <c r="M608" s="140"/>
      <c r="N608" s="140"/>
    </row>
    <row r="609" ht="15.75" customHeight="1">
      <c r="A609" s="140"/>
      <c r="B609" s="140"/>
      <c r="C609" s="140"/>
      <c r="D609" s="140"/>
      <c r="E609" s="140"/>
      <c r="F609" s="140"/>
      <c r="J609" s="140"/>
      <c r="K609" s="140"/>
      <c r="L609" s="140"/>
      <c r="M609" s="140"/>
      <c r="N609" s="140"/>
    </row>
    <row r="610" ht="15.75" customHeight="1">
      <c r="A610" s="140"/>
      <c r="B610" s="140"/>
      <c r="C610" s="140"/>
      <c r="D610" s="140"/>
      <c r="E610" s="140"/>
      <c r="F610" s="140"/>
      <c r="J610" s="140"/>
      <c r="K610" s="140"/>
      <c r="L610" s="140"/>
      <c r="M610" s="140"/>
      <c r="N610" s="140"/>
    </row>
    <row r="611" ht="15.75" customHeight="1">
      <c r="A611" s="140"/>
      <c r="B611" s="140"/>
      <c r="C611" s="140"/>
      <c r="D611" s="140"/>
      <c r="E611" s="140"/>
      <c r="F611" s="140"/>
      <c r="J611" s="140"/>
      <c r="K611" s="140"/>
      <c r="L611" s="140"/>
      <c r="M611" s="140"/>
      <c r="N611" s="140"/>
    </row>
    <row r="612" ht="15.75" customHeight="1">
      <c r="A612" s="140"/>
      <c r="B612" s="140"/>
      <c r="C612" s="140"/>
      <c r="D612" s="140"/>
      <c r="E612" s="140"/>
      <c r="F612" s="140"/>
      <c r="J612" s="140"/>
      <c r="K612" s="140"/>
      <c r="L612" s="140"/>
      <c r="M612" s="140"/>
      <c r="N612" s="140"/>
    </row>
    <row r="613" ht="15.75" customHeight="1">
      <c r="A613" s="140"/>
      <c r="B613" s="140"/>
      <c r="C613" s="140"/>
      <c r="D613" s="140"/>
      <c r="E613" s="140"/>
      <c r="F613" s="140"/>
      <c r="J613" s="140"/>
      <c r="K613" s="140"/>
      <c r="L613" s="140"/>
      <c r="M613" s="140"/>
      <c r="N613" s="140"/>
    </row>
    <row r="614" ht="15.75" customHeight="1">
      <c r="A614" s="140"/>
      <c r="B614" s="140"/>
      <c r="C614" s="140"/>
      <c r="D614" s="140"/>
      <c r="E614" s="140"/>
      <c r="F614" s="140"/>
      <c r="J614" s="140"/>
      <c r="K614" s="140"/>
      <c r="L614" s="140"/>
      <c r="M614" s="140"/>
      <c r="N614" s="140"/>
    </row>
    <row r="615" ht="15.75" customHeight="1">
      <c r="A615" s="140"/>
      <c r="B615" s="140"/>
      <c r="C615" s="140"/>
      <c r="D615" s="140"/>
      <c r="E615" s="140"/>
      <c r="F615" s="140"/>
      <c r="J615" s="140"/>
      <c r="K615" s="140"/>
      <c r="L615" s="140"/>
      <c r="M615" s="140"/>
      <c r="N615" s="140"/>
    </row>
    <row r="616" ht="15.75" customHeight="1">
      <c r="A616" s="140"/>
      <c r="B616" s="140"/>
      <c r="C616" s="140"/>
      <c r="D616" s="140"/>
      <c r="E616" s="140"/>
      <c r="F616" s="140"/>
      <c r="J616" s="140"/>
      <c r="K616" s="140"/>
      <c r="L616" s="140"/>
      <c r="M616" s="140"/>
      <c r="N616" s="140"/>
    </row>
    <row r="617" ht="15.75" customHeight="1">
      <c r="A617" s="140"/>
      <c r="B617" s="140"/>
      <c r="C617" s="140"/>
      <c r="D617" s="140"/>
      <c r="E617" s="140"/>
      <c r="F617" s="140"/>
      <c r="J617" s="140"/>
      <c r="K617" s="140"/>
      <c r="L617" s="140"/>
      <c r="M617" s="140"/>
      <c r="N617" s="140"/>
    </row>
    <row r="618" ht="15.75" customHeight="1">
      <c r="A618" s="140"/>
      <c r="B618" s="140"/>
      <c r="C618" s="140"/>
      <c r="D618" s="140"/>
      <c r="E618" s="140"/>
      <c r="F618" s="140"/>
      <c r="J618" s="140"/>
      <c r="K618" s="140"/>
      <c r="L618" s="140"/>
      <c r="M618" s="140"/>
      <c r="N618" s="140"/>
    </row>
    <row r="619" ht="15.75" customHeight="1">
      <c r="A619" s="140"/>
      <c r="B619" s="140"/>
      <c r="C619" s="140"/>
      <c r="D619" s="140"/>
      <c r="E619" s="140"/>
      <c r="F619" s="140"/>
      <c r="J619" s="140"/>
      <c r="K619" s="140"/>
      <c r="L619" s="140"/>
      <c r="M619" s="140"/>
      <c r="N619" s="140"/>
    </row>
    <row r="620" ht="15.75" customHeight="1">
      <c r="A620" s="140"/>
      <c r="B620" s="140"/>
      <c r="C620" s="140"/>
      <c r="D620" s="140"/>
      <c r="E620" s="140"/>
      <c r="F620" s="140"/>
      <c r="J620" s="140"/>
      <c r="K620" s="140"/>
      <c r="L620" s="140"/>
      <c r="M620" s="140"/>
      <c r="N620" s="140"/>
    </row>
    <row r="621" ht="15.75" customHeight="1">
      <c r="A621" s="140"/>
      <c r="B621" s="140"/>
      <c r="C621" s="140"/>
      <c r="D621" s="140"/>
      <c r="E621" s="140"/>
      <c r="F621" s="140"/>
      <c r="J621" s="140"/>
      <c r="K621" s="140"/>
      <c r="L621" s="140"/>
      <c r="M621" s="140"/>
      <c r="N621" s="140"/>
    </row>
    <row r="622" ht="15.75" customHeight="1">
      <c r="A622" s="140"/>
      <c r="B622" s="140"/>
      <c r="C622" s="140"/>
      <c r="D622" s="140"/>
      <c r="E622" s="140"/>
      <c r="F622" s="140"/>
      <c r="J622" s="140"/>
      <c r="K622" s="140"/>
      <c r="L622" s="140"/>
      <c r="M622" s="140"/>
      <c r="N622" s="140"/>
    </row>
    <row r="623" ht="15.75" customHeight="1">
      <c r="A623" s="140"/>
      <c r="B623" s="140"/>
      <c r="C623" s="140"/>
      <c r="D623" s="140"/>
      <c r="E623" s="140"/>
      <c r="F623" s="140"/>
      <c r="J623" s="140"/>
      <c r="K623" s="140"/>
      <c r="L623" s="140"/>
      <c r="M623" s="140"/>
      <c r="N623" s="140"/>
    </row>
    <row r="624" ht="15.75" customHeight="1">
      <c r="A624" s="140"/>
      <c r="B624" s="140"/>
      <c r="C624" s="140"/>
      <c r="D624" s="140"/>
      <c r="E624" s="140"/>
      <c r="F624" s="140"/>
      <c r="J624" s="140"/>
      <c r="K624" s="140"/>
      <c r="L624" s="140"/>
      <c r="M624" s="140"/>
      <c r="N624" s="140"/>
    </row>
    <row r="625" ht="15.75" customHeight="1">
      <c r="A625" s="140"/>
      <c r="B625" s="140"/>
      <c r="C625" s="140"/>
      <c r="D625" s="140"/>
      <c r="E625" s="140"/>
      <c r="F625" s="140"/>
      <c r="J625" s="140"/>
      <c r="K625" s="140"/>
      <c r="L625" s="140"/>
      <c r="M625" s="140"/>
      <c r="N625" s="140"/>
    </row>
    <row r="626" ht="15.75" customHeight="1">
      <c r="A626" s="140"/>
      <c r="B626" s="140"/>
      <c r="C626" s="140"/>
      <c r="D626" s="140"/>
      <c r="E626" s="140"/>
      <c r="F626" s="140"/>
      <c r="J626" s="140"/>
      <c r="K626" s="140"/>
      <c r="L626" s="140"/>
      <c r="M626" s="140"/>
      <c r="N626" s="140"/>
    </row>
    <row r="627" ht="15.75" customHeight="1">
      <c r="A627" s="140"/>
      <c r="B627" s="140"/>
      <c r="C627" s="140"/>
      <c r="D627" s="140"/>
      <c r="E627" s="140"/>
      <c r="F627" s="140"/>
      <c r="J627" s="140"/>
      <c r="K627" s="140"/>
      <c r="L627" s="140"/>
      <c r="M627" s="140"/>
      <c r="N627" s="140"/>
    </row>
    <row r="628" ht="15.75" customHeight="1">
      <c r="A628" s="140"/>
      <c r="B628" s="140"/>
      <c r="C628" s="140"/>
      <c r="D628" s="140"/>
      <c r="E628" s="140"/>
      <c r="F628" s="140"/>
      <c r="J628" s="140"/>
      <c r="K628" s="140"/>
      <c r="L628" s="140"/>
      <c r="M628" s="140"/>
      <c r="N628" s="140"/>
    </row>
    <row r="629" ht="15.75" customHeight="1">
      <c r="A629" s="140"/>
      <c r="B629" s="140"/>
      <c r="C629" s="140"/>
      <c r="D629" s="140"/>
      <c r="E629" s="140"/>
      <c r="F629" s="140"/>
      <c r="J629" s="140"/>
      <c r="K629" s="140"/>
      <c r="L629" s="140"/>
      <c r="M629" s="140"/>
      <c r="N629" s="140"/>
    </row>
    <row r="630" ht="15.75" customHeight="1">
      <c r="A630" s="140"/>
      <c r="B630" s="140"/>
      <c r="C630" s="140"/>
      <c r="D630" s="140"/>
      <c r="E630" s="140"/>
      <c r="F630" s="140"/>
      <c r="J630" s="140"/>
      <c r="K630" s="140"/>
      <c r="L630" s="140"/>
      <c r="M630" s="140"/>
      <c r="N630" s="140"/>
    </row>
    <row r="631" ht="15.75" customHeight="1">
      <c r="A631" s="140"/>
      <c r="B631" s="140"/>
      <c r="C631" s="140"/>
      <c r="D631" s="140"/>
      <c r="E631" s="140"/>
      <c r="F631" s="140"/>
      <c r="J631" s="140"/>
      <c r="K631" s="140"/>
      <c r="L631" s="140"/>
      <c r="M631" s="140"/>
      <c r="N631" s="140"/>
    </row>
    <row r="632" ht="15.75" customHeight="1">
      <c r="A632" s="140"/>
      <c r="B632" s="140"/>
      <c r="C632" s="140"/>
      <c r="D632" s="140"/>
      <c r="E632" s="140"/>
      <c r="F632" s="140"/>
      <c r="J632" s="140"/>
      <c r="K632" s="140"/>
      <c r="L632" s="140"/>
      <c r="M632" s="140"/>
      <c r="N632" s="140"/>
    </row>
    <row r="633" ht="15.75" customHeight="1">
      <c r="A633" s="140"/>
      <c r="B633" s="140"/>
      <c r="C633" s="140"/>
      <c r="D633" s="140"/>
      <c r="E633" s="140"/>
      <c r="F633" s="140"/>
      <c r="J633" s="140"/>
      <c r="K633" s="140"/>
      <c r="L633" s="140"/>
      <c r="M633" s="140"/>
      <c r="N633" s="140"/>
    </row>
    <row r="634" ht="15.75" customHeight="1">
      <c r="A634" s="140"/>
      <c r="B634" s="140"/>
      <c r="C634" s="140"/>
      <c r="D634" s="140"/>
      <c r="E634" s="140"/>
      <c r="F634" s="140"/>
      <c r="J634" s="140"/>
      <c r="K634" s="140"/>
      <c r="L634" s="140"/>
      <c r="M634" s="140"/>
      <c r="N634" s="140"/>
    </row>
    <row r="635" ht="15.75" customHeight="1">
      <c r="A635" s="140"/>
      <c r="B635" s="140"/>
      <c r="C635" s="140"/>
      <c r="D635" s="140"/>
      <c r="E635" s="140"/>
      <c r="F635" s="140"/>
      <c r="J635" s="140"/>
      <c r="K635" s="140"/>
      <c r="L635" s="140"/>
      <c r="M635" s="140"/>
      <c r="N635" s="140"/>
    </row>
    <row r="636" ht="15.75" customHeight="1">
      <c r="A636" s="140"/>
      <c r="B636" s="140"/>
      <c r="C636" s="140"/>
      <c r="D636" s="140"/>
      <c r="E636" s="140"/>
      <c r="F636" s="140"/>
      <c r="J636" s="140"/>
      <c r="K636" s="140"/>
      <c r="L636" s="140"/>
      <c r="M636" s="140"/>
      <c r="N636" s="140"/>
    </row>
    <row r="637" ht="15.75" customHeight="1">
      <c r="A637" s="140"/>
      <c r="B637" s="140"/>
      <c r="C637" s="140"/>
      <c r="D637" s="140"/>
      <c r="E637" s="140"/>
      <c r="F637" s="140"/>
      <c r="J637" s="140"/>
      <c r="K637" s="140"/>
      <c r="L637" s="140"/>
      <c r="M637" s="140"/>
      <c r="N637" s="140"/>
    </row>
    <row r="638" ht="15.75" customHeight="1">
      <c r="A638" s="140"/>
      <c r="B638" s="140"/>
      <c r="C638" s="140"/>
      <c r="D638" s="140"/>
      <c r="E638" s="140"/>
      <c r="F638" s="140"/>
      <c r="J638" s="140"/>
      <c r="K638" s="140"/>
      <c r="L638" s="140"/>
      <c r="M638" s="140"/>
      <c r="N638" s="140"/>
    </row>
    <row r="639" ht="15.75" customHeight="1">
      <c r="A639" s="140"/>
      <c r="B639" s="140"/>
      <c r="C639" s="140"/>
      <c r="D639" s="140"/>
      <c r="E639" s="140"/>
      <c r="F639" s="140"/>
      <c r="J639" s="140"/>
      <c r="K639" s="140"/>
      <c r="L639" s="140"/>
      <c r="M639" s="140"/>
      <c r="N639" s="140"/>
    </row>
    <row r="640" ht="15.75" customHeight="1">
      <c r="A640" s="140"/>
      <c r="B640" s="140"/>
      <c r="C640" s="140"/>
      <c r="D640" s="140"/>
      <c r="E640" s="140"/>
      <c r="F640" s="140"/>
      <c r="J640" s="140"/>
      <c r="K640" s="140"/>
      <c r="L640" s="140"/>
      <c r="M640" s="140"/>
      <c r="N640" s="140"/>
    </row>
    <row r="641" ht="15.75" customHeight="1">
      <c r="A641" s="140"/>
      <c r="B641" s="140"/>
      <c r="C641" s="140"/>
      <c r="D641" s="140"/>
      <c r="E641" s="140"/>
      <c r="F641" s="140"/>
      <c r="J641" s="140"/>
      <c r="K641" s="140"/>
      <c r="L641" s="140"/>
      <c r="M641" s="140"/>
      <c r="N641" s="140"/>
    </row>
    <row r="642" ht="15.75" customHeight="1">
      <c r="A642" s="140"/>
      <c r="B642" s="140"/>
      <c r="C642" s="140"/>
      <c r="D642" s="140"/>
      <c r="E642" s="140"/>
      <c r="F642" s="140"/>
      <c r="J642" s="140"/>
      <c r="K642" s="140"/>
      <c r="L642" s="140"/>
      <c r="M642" s="140"/>
      <c r="N642" s="140"/>
    </row>
    <row r="643" ht="15.75" customHeight="1">
      <c r="A643" s="140"/>
      <c r="B643" s="140"/>
      <c r="C643" s="140"/>
      <c r="D643" s="140"/>
      <c r="E643" s="140"/>
      <c r="F643" s="140"/>
      <c r="J643" s="140"/>
      <c r="K643" s="140"/>
      <c r="L643" s="140"/>
      <c r="M643" s="140"/>
      <c r="N643" s="140"/>
    </row>
    <row r="644" ht="15.75" customHeight="1">
      <c r="A644" s="140"/>
      <c r="B644" s="140"/>
      <c r="C644" s="140"/>
      <c r="D644" s="140"/>
      <c r="E644" s="140"/>
      <c r="F644" s="140"/>
      <c r="J644" s="140"/>
      <c r="K644" s="140"/>
      <c r="L644" s="140"/>
      <c r="M644" s="140"/>
      <c r="N644" s="140"/>
    </row>
    <row r="645" ht="15.75" customHeight="1">
      <c r="A645" s="140"/>
      <c r="B645" s="140"/>
      <c r="C645" s="140"/>
      <c r="D645" s="140"/>
      <c r="E645" s="140"/>
      <c r="F645" s="140"/>
      <c r="J645" s="140"/>
      <c r="K645" s="140"/>
      <c r="L645" s="140"/>
      <c r="M645" s="140"/>
      <c r="N645" s="140"/>
    </row>
    <row r="646" ht="15.75" customHeight="1">
      <c r="A646" s="140"/>
      <c r="B646" s="140"/>
      <c r="C646" s="140"/>
      <c r="D646" s="140"/>
      <c r="E646" s="140"/>
      <c r="F646" s="140"/>
      <c r="J646" s="140"/>
      <c r="K646" s="140"/>
      <c r="L646" s="140"/>
      <c r="M646" s="140"/>
      <c r="N646" s="140"/>
    </row>
    <row r="647" ht="15.75" customHeight="1">
      <c r="A647" s="140"/>
      <c r="B647" s="140"/>
      <c r="C647" s="140"/>
      <c r="D647" s="140"/>
      <c r="E647" s="140"/>
      <c r="F647" s="140"/>
      <c r="J647" s="140"/>
      <c r="K647" s="140"/>
      <c r="L647" s="140"/>
      <c r="M647" s="140"/>
      <c r="N647" s="140"/>
    </row>
    <row r="648" ht="15.75" customHeight="1">
      <c r="A648" s="140"/>
      <c r="B648" s="140"/>
      <c r="C648" s="140"/>
      <c r="D648" s="140"/>
      <c r="E648" s="140"/>
      <c r="F648" s="140"/>
      <c r="J648" s="140"/>
      <c r="K648" s="140"/>
      <c r="L648" s="140"/>
      <c r="M648" s="140"/>
      <c r="N648" s="140"/>
    </row>
    <row r="649" ht="15.75" customHeight="1">
      <c r="A649" s="140"/>
      <c r="B649" s="140"/>
      <c r="C649" s="140"/>
      <c r="D649" s="140"/>
      <c r="E649" s="140"/>
      <c r="F649" s="140"/>
      <c r="J649" s="140"/>
      <c r="K649" s="140"/>
      <c r="L649" s="140"/>
      <c r="M649" s="140"/>
      <c r="N649" s="140"/>
    </row>
    <row r="650" ht="15.75" customHeight="1">
      <c r="A650" s="140"/>
      <c r="B650" s="140"/>
      <c r="C650" s="140"/>
      <c r="D650" s="140"/>
      <c r="E650" s="140"/>
      <c r="F650" s="140"/>
      <c r="J650" s="140"/>
      <c r="K650" s="140"/>
      <c r="L650" s="140"/>
      <c r="M650" s="140"/>
      <c r="N650" s="140"/>
    </row>
    <row r="651" ht="15.75" customHeight="1">
      <c r="A651" s="140"/>
      <c r="B651" s="140"/>
      <c r="C651" s="140"/>
      <c r="D651" s="140"/>
      <c r="E651" s="140"/>
      <c r="F651" s="140"/>
      <c r="J651" s="140"/>
      <c r="K651" s="140"/>
      <c r="L651" s="140"/>
      <c r="M651" s="140"/>
      <c r="N651" s="140"/>
    </row>
    <row r="652" ht="15.75" customHeight="1">
      <c r="A652" s="140"/>
      <c r="B652" s="140"/>
      <c r="C652" s="140"/>
      <c r="D652" s="140"/>
      <c r="E652" s="140"/>
      <c r="F652" s="140"/>
      <c r="J652" s="140"/>
      <c r="K652" s="140"/>
      <c r="L652" s="140"/>
      <c r="M652" s="140"/>
      <c r="N652" s="140"/>
    </row>
    <row r="653" ht="15.75" customHeight="1">
      <c r="A653" s="140"/>
      <c r="B653" s="140"/>
      <c r="C653" s="140"/>
      <c r="D653" s="140"/>
      <c r="E653" s="140"/>
      <c r="F653" s="140"/>
      <c r="J653" s="140"/>
      <c r="K653" s="140"/>
      <c r="L653" s="140"/>
      <c r="M653" s="140"/>
      <c r="N653" s="140"/>
    </row>
    <row r="654" ht="15.75" customHeight="1">
      <c r="A654" s="140"/>
      <c r="B654" s="140"/>
      <c r="C654" s="140"/>
      <c r="D654" s="140"/>
      <c r="E654" s="140"/>
      <c r="F654" s="140"/>
      <c r="J654" s="140"/>
      <c r="K654" s="140"/>
      <c r="L654" s="140"/>
      <c r="M654" s="140"/>
      <c r="N654" s="140"/>
    </row>
    <row r="655" ht="15.75" customHeight="1">
      <c r="A655" s="140"/>
      <c r="B655" s="140"/>
      <c r="C655" s="140"/>
      <c r="D655" s="140"/>
      <c r="E655" s="140"/>
      <c r="F655" s="140"/>
      <c r="J655" s="140"/>
      <c r="K655" s="140"/>
      <c r="L655" s="140"/>
      <c r="M655" s="140"/>
      <c r="N655" s="140"/>
    </row>
    <row r="656" ht="15.75" customHeight="1">
      <c r="A656" s="140"/>
      <c r="B656" s="140"/>
      <c r="C656" s="140"/>
      <c r="D656" s="140"/>
      <c r="E656" s="140"/>
      <c r="F656" s="140"/>
      <c r="J656" s="140"/>
      <c r="K656" s="140"/>
      <c r="L656" s="140"/>
      <c r="M656" s="140"/>
      <c r="N656" s="140"/>
    </row>
    <row r="657" ht="15.75" customHeight="1">
      <c r="A657" s="140"/>
      <c r="B657" s="140"/>
      <c r="C657" s="140"/>
      <c r="D657" s="140"/>
      <c r="E657" s="140"/>
      <c r="F657" s="140"/>
      <c r="J657" s="140"/>
      <c r="K657" s="140"/>
      <c r="L657" s="140"/>
      <c r="M657" s="140"/>
      <c r="N657" s="140"/>
    </row>
    <row r="658" ht="15.75" customHeight="1">
      <c r="A658" s="140"/>
      <c r="B658" s="140"/>
      <c r="C658" s="140"/>
      <c r="D658" s="140"/>
      <c r="E658" s="140"/>
      <c r="F658" s="140"/>
      <c r="J658" s="140"/>
      <c r="K658" s="140"/>
      <c r="L658" s="140"/>
      <c r="M658" s="140"/>
      <c r="N658" s="140"/>
    </row>
    <row r="659" ht="15.75" customHeight="1">
      <c r="A659" s="140"/>
      <c r="B659" s="140"/>
      <c r="C659" s="140"/>
      <c r="D659" s="140"/>
      <c r="E659" s="140"/>
      <c r="F659" s="140"/>
      <c r="J659" s="140"/>
      <c r="K659" s="140"/>
      <c r="L659" s="140"/>
      <c r="M659" s="140"/>
      <c r="N659" s="140"/>
    </row>
    <row r="660" ht="15.75" customHeight="1">
      <c r="A660" s="140"/>
      <c r="B660" s="140"/>
      <c r="C660" s="140"/>
      <c r="D660" s="140"/>
      <c r="E660" s="140"/>
      <c r="F660" s="140"/>
      <c r="J660" s="140"/>
      <c r="K660" s="140"/>
      <c r="L660" s="140"/>
      <c r="M660" s="140"/>
      <c r="N660" s="140"/>
    </row>
    <row r="661" ht="15.75" customHeight="1">
      <c r="A661" s="140"/>
      <c r="B661" s="140"/>
      <c r="C661" s="140"/>
      <c r="D661" s="140"/>
      <c r="E661" s="140"/>
      <c r="F661" s="140"/>
      <c r="J661" s="140"/>
      <c r="K661" s="140"/>
      <c r="L661" s="140"/>
      <c r="M661" s="140"/>
      <c r="N661" s="140"/>
    </row>
    <row r="662" ht="15.75" customHeight="1">
      <c r="A662" s="140"/>
      <c r="B662" s="140"/>
      <c r="C662" s="140"/>
      <c r="D662" s="140"/>
      <c r="E662" s="140"/>
      <c r="F662" s="140"/>
      <c r="J662" s="140"/>
      <c r="K662" s="140"/>
      <c r="L662" s="140"/>
      <c r="M662" s="140"/>
      <c r="N662" s="140"/>
    </row>
    <row r="663" ht="15.75" customHeight="1">
      <c r="A663" s="140"/>
      <c r="B663" s="140"/>
      <c r="C663" s="140"/>
      <c r="D663" s="140"/>
      <c r="E663" s="140"/>
      <c r="F663" s="140"/>
      <c r="J663" s="140"/>
      <c r="K663" s="140"/>
      <c r="L663" s="140"/>
      <c r="M663" s="140"/>
      <c r="N663" s="140"/>
    </row>
    <row r="664" ht="15.75" customHeight="1">
      <c r="A664" s="140"/>
      <c r="B664" s="140"/>
      <c r="C664" s="140"/>
      <c r="D664" s="140"/>
      <c r="E664" s="140"/>
      <c r="F664" s="140"/>
      <c r="J664" s="140"/>
      <c r="K664" s="140"/>
      <c r="L664" s="140"/>
      <c r="M664" s="140"/>
      <c r="N664" s="140"/>
    </row>
    <row r="665" ht="15.75" customHeight="1">
      <c r="A665" s="140"/>
      <c r="B665" s="140"/>
      <c r="C665" s="140"/>
      <c r="D665" s="140"/>
      <c r="E665" s="140"/>
      <c r="F665" s="140"/>
      <c r="J665" s="140"/>
      <c r="K665" s="140"/>
      <c r="L665" s="140"/>
      <c r="M665" s="140"/>
      <c r="N665" s="140"/>
    </row>
    <row r="666" ht="15.75" customHeight="1">
      <c r="A666" s="140"/>
      <c r="B666" s="140"/>
      <c r="C666" s="140"/>
      <c r="D666" s="140"/>
      <c r="E666" s="140"/>
      <c r="F666" s="140"/>
      <c r="J666" s="140"/>
      <c r="K666" s="140"/>
      <c r="L666" s="140"/>
      <c r="M666" s="140"/>
      <c r="N666" s="140"/>
    </row>
    <row r="667" ht="15.75" customHeight="1">
      <c r="A667" s="140"/>
      <c r="B667" s="140"/>
      <c r="C667" s="140"/>
      <c r="D667" s="140"/>
      <c r="E667" s="140"/>
      <c r="F667" s="140"/>
      <c r="J667" s="140"/>
      <c r="K667" s="140"/>
      <c r="L667" s="140"/>
      <c r="M667" s="140"/>
      <c r="N667" s="140"/>
    </row>
    <row r="668" ht="15.75" customHeight="1">
      <c r="A668" s="140"/>
      <c r="B668" s="140"/>
      <c r="C668" s="140"/>
      <c r="D668" s="140"/>
      <c r="E668" s="140"/>
      <c r="F668" s="140"/>
      <c r="J668" s="140"/>
      <c r="K668" s="140"/>
      <c r="L668" s="140"/>
      <c r="M668" s="140"/>
      <c r="N668" s="140"/>
    </row>
    <row r="669" ht="15.75" customHeight="1">
      <c r="A669" s="140"/>
      <c r="B669" s="140"/>
      <c r="C669" s="140"/>
      <c r="D669" s="140"/>
      <c r="E669" s="140"/>
      <c r="F669" s="140"/>
      <c r="J669" s="140"/>
      <c r="K669" s="140"/>
      <c r="L669" s="140"/>
      <c r="M669" s="140"/>
      <c r="N669" s="140"/>
    </row>
    <row r="670" ht="15.75" customHeight="1">
      <c r="A670" s="140"/>
      <c r="B670" s="140"/>
      <c r="C670" s="140"/>
      <c r="D670" s="140"/>
      <c r="E670" s="140"/>
      <c r="F670" s="140"/>
      <c r="J670" s="140"/>
      <c r="K670" s="140"/>
      <c r="L670" s="140"/>
      <c r="M670" s="140"/>
      <c r="N670" s="140"/>
    </row>
    <row r="671" ht="15.75" customHeight="1">
      <c r="A671" s="140"/>
      <c r="B671" s="140"/>
      <c r="C671" s="140"/>
      <c r="D671" s="140"/>
      <c r="E671" s="140"/>
      <c r="F671" s="140"/>
      <c r="J671" s="140"/>
      <c r="K671" s="140"/>
      <c r="L671" s="140"/>
      <c r="M671" s="140"/>
      <c r="N671" s="140"/>
    </row>
    <row r="672" ht="15.75" customHeight="1">
      <c r="A672" s="140"/>
      <c r="B672" s="140"/>
      <c r="C672" s="140"/>
      <c r="D672" s="140"/>
      <c r="E672" s="140"/>
      <c r="F672" s="140"/>
      <c r="J672" s="140"/>
      <c r="K672" s="140"/>
      <c r="L672" s="140"/>
      <c r="M672" s="140"/>
      <c r="N672" s="140"/>
    </row>
    <row r="673" ht="15.75" customHeight="1">
      <c r="A673" s="140"/>
      <c r="B673" s="140"/>
      <c r="C673" s="140"/>
      <c r="D673" s="140"/>
      <c r="E673" s="140"/>
      <c r="F673" s="140"/>
      <c r="J673" s="140"/>
      <c r="K673" s="140"/>
      <c r="L673" s="140"/>
      <c r="M673" s="140"/>
      <c r="N673" s="140"/>
    </row>
    <row r="674" ht="15.75" customHeight="1">
      <c r="A674" s="140"/>
      <c r="B674" s="140"/>
      <c r="C674" s="140"/>
      <c r="D674" s="140"/>
      <c r="E674" s="140"/>
      <c r="F674" s="140"/>
      <c r="J674" s="140"/>
      <c r="K674" s="140"/>
      <c r="L674" s="140"/>
      <c r="M674" s="140"/>
      <c r="N674" s="140"/>
    </row>
    <row r="675" ht="15.75" customHeight="1">
      <c r="A675" s="140"/>
      <c r="B675" s="140"/>
      <c r="C675" s="140"/>
      <c r="D675" s="140"/>
      <c r="E675" s="140"/>
      <c r="F675" s="140"/>
      <c r="J675" s="140"/>
      <c r="K675" s="140"/>
      <c r="L675" s="140"/>
      <c r="M675" s="140"/>
      <c r="N675" s="140"/>
    </row>
    <row r="676" ht="15.75" customHeight="1">
      <c r="A676" s="140"/>
      <c r="B676" s="140"/>
      <c r="C676" s="140"/>
      <c r="D676" s="140"/>
      <c r="E676" s="140"/>
      <c r="F676" s="140"/>
      <c r="J676" s="140"/>
      <c r="K676" s="140"/>
      <c r="L676" s="140"/>
      <c r="M676" s="140"/>
      <c r="N676" s="140"/>
    </row>
    <row r="677" ht="15.75" customHeight="1">
      <c r="A677" s="140"/>
      <c r="B677" s="140"/>
      <c r="C677" s="140"/>
      <c r="D677" s="140"/>
      <c r="E677" s="140"/>
      <c r="F677" s="140"/>
      <c r="J677" s="140"/>
      <c r="K677" s="140"/>
      <c r="L677" s="140"/>
      <c r="M677" s="140"/>
      <c r="N677" s="140"/>
    </row>
    <row r="678" ht="15.75" customHeight="1">
      <c r="A678" s="140"/>
      <c r="B678" s="140"/>
      <c r="C678" s="140"/>
      <c r="D678" s="140"/>
      <c r="E678" s="140"/>
      <c r="F678" s="140"/>
      <c r="J678" s="140"/>
      <c r="K678" s="140"/>
      <c r="L678" s="140"/>
      <c r="M678" s="140"/>
      <c r="N678" s="140"/>
    </row>
    <row r="679" ht="15.75" customHeight="1">
      <c r="A679" s="140"/>
      <c r="B679" s="140"/>
      <c r="C679" s="140"/>
      <c r="D679" s="140"/>
      <c r="E679" s="140"/>
      <c r="F679" s="140"/>
      <c r="J679" s="140"/>
      <c r="K679" s="140"/>
      <c r="L679" s="140"/>
      <c r="M679" s="140"/>
      <c r="N679" s="140"/>
    </row>
    <row r="680" ht="15.75" customHeight="1">
      <c r="A680" s="140"/>
      <c r="B680" s="140"/>
      <c r="C680" s="140"/>
      <c r="D680" s="140"/>
      <c r="E680" s="140"/>
      <c r="F680" s="140"/>
      <c r="J680" s="140"/>
      <c r="K680" s="140"/>
      <c r="L680" s="140"/>
      <c r="M680" s="140"/>
      <c r="N680" s="140"/>
    </row>
    <row r="681" ht="15.75" customHeight="1">
      <c r="A681" s="140"/>
      <c r="B681" s="140"/>
      <c r="C681" s="140"/>
      <c r="D681" s="140"/>
      <c r="E681" s="140"/>
      <c r="F681" s="140"/>
      <c r="J681" s="140"/>
      <c r="K681" s="140"/>
      <c r="L681" s="140"/>
      <c r="M681" s="140"/>
      <c r="N681" s="140"/>
    </row>
    <row r="682" ht="15.75" customHeight="1">
      <c r="A682" s="140"/>
      <c r="B682" s="140"/>
      <c r="C682" s="140"/>
      <c r="D682" s="140"/>
      <c r="E682" s="140"/>
      <c r="F682" s="140"/>
      <c r="J682" s="140"/>
      <c r="K682" s="140"/>
      <c r="L682" s="140"/>
      <c r="M682" s="140"/>
      <c r="N682" s="140"/>
    </row>
    <row r="683" ht="15.75" customHeight="1">
      <c r="A683" s="140"/>
      <c r="B683" s="140"/>
      <c r="C683" s="140"/>
      <c r="D683" s="140"/>
      <c r="E683" s="140"/>
      <c r="F683" s="140"/>
      <c r="J683" s="140"/>
      <c r="K683" s="140"/>
      <c r="L683" s="140"/>
      <c r="M683" s="140"/>
      <c r="N683" s="140"/>
    </row>
    <row r="684" ht="15.75" customHeight="1">
      <c r="A684" s="140"/>
      <c r="B684" s="140"/>
      <c r="C684" s="140"/>
      <c r="D684" s="140"/>
      <c r="E684" s="140"/>
      <c r="F684" s="140"/>
      <c r="J684" s="140"/>
      <c r="K684" s="140"/>
      <c r="L684" s="140"/>
      <c r="M684" s="140"/>
      <c r="N684" s="140"/>
    </row>
    <row r="685" ht="15.75" customHeight="1">
      <c r="A685" s="140"/>
      <c r="B685" s="140"/>
      <c r="C685" s="140"/>
      <c r="D685" s="140"/>
      <c r="E685" s="140"/>
      <c r="F685" s="140"/>
      <c r="J685" s="140"/>
      <c r="K685" s="140"/>
      <c r="L685" s="140"/>
      <c r="M685" s="140"/>
      <c r="N685" s="140"/>
    </row>
    <row r="686" ht="15.75" customHeight="1">
      <c r="A686" s="140"/>
      <c r="B686" s="140"/>
      <c r="C686" s="140"/>
      <c r="D686" s="140"/>
      <c r="E686" s="140"/>
      <c r="F686" s="140"/>
      <c r="J686" s="140"/>
      <c r="K686" s="140"/>
      <c r="L686" s="140"/>
      <c r="M686" s="140"/>
      <c r="N686" s="140"/>
    </row>
    <row r="687" ht="15.75" customHeight="1">
      <c r="A687" s="140"/>
      <c r="B687" s="140"/>
      <c r="C687" s="140"/>
      <c r="D687" s="140"/>
      <c r="E687" s="140"/>
      <c r="F687" s="140"/>
      <c r="J687" s="140"/>
      <c r="K687" s="140"/>
      <c r="L687" s="140"/>
      <c r="M687" s="140"/>
      <c r="N687" s="140"/>
    </row>
    <row r="688" ht="15.75" customHeight="1">
      <c r="A688" s="140"/>
      <c r="B688" s="140"/>
      <c r="C688" s="140"/>
      <c r="D688" s="140"/>
      <c r="E688" s="140"/>
      <c r="F688" s="140"/>
      <c r="J688" s="140"/>
      <c r="K688" s="140"/>
      <c r="L688" s="140"/>
      <c r="M688" s="140"/>
      <c r="N688" s="140"/>
    </row>
    <row r="689" ht="15.75" customHeight="1">
      <c r="A689" s="140"/>
      <c r="B689" s="140"/>
      <c r="C689" s="140"/>
      <c r="D689" s="140"/>
      <c r="E689" s="140"/>
      <c r="F689" s="140"/>
      <c r="J689" s="140"/>
      <c r="K689" s="140"/>
      <c r="L689" s="140"/>
      <c r="M689" s="140"/>
      <c r="N689" s="140"/>
    </row>
    <row r="690" ht="15.75" customHeight="1">
      <c r="A690" s="140"/>
      <c r="B690" s="140"/>
      <c r="C690" s="140"/>
      <c r="D690" s="140"/>
      <c r="E690" s="140"/>
      <c r="F690" s="140"/>
      <c r="J690" s="140"/>
      <c r="K690" s="140"/>
      <c r="L690" s="140"/>
      <c r="M690" s="140"/>
      <c r="N690" s="140"/>
    </row>
    <row r="691" ht="15.75" customHeight="1">
      <c r="A691" s="140"/>
      <c r="B691" s="140"/>
      <c r="C691" s="140"/>
      <c r="D691" s="140"/>
      <c r="E691" s="140"/>
      <c r="F691" s="140"/>
      <c r="J691" s="140"/>
      <c r="K691" s="140"/>
      <c r="L691" s="140"/>
      <c r="M691" s="140"/>
      <c r="N691" s="140"/>
    </row>
    <row r="692" ht="15.75" customHeight="1">
      <c r="A692" s="140"/>
      <c r="B692" s="140"/>
      <c r="C692" s="140"/>
      <c r="D692" s="140"/>
      <c r="E692" s="140"/>
      <c r="F692" s="140"/>
      <c r="J692" s="140"/>
      <c r="K692" s="140"/>
      <c r="L692" s="140"/>
      <c r="M692" s="140"/>
      <c r="N692" s="140"/>
    </row>
    <row r="693" ht="15.75" customHeight="1">
      <c r="A693" s="140"/>
      <c r="B693" s="140"/>
      <c r="C693" s="140"/>
      <c r="D693" s="140"/>
      <c r="E693" s="140"/>
      <c r="F693" s="140"/>
      <c r="J693" s="140"/>
      <c r="K693" s="140"/>
      <c r="L693" s="140"/>
      <c r="M693" s="140"/>
      <c r="N693" s="140"/>
    </row>
    <row r="694" ht="15.75" customHeight="1">
      <c r="A694" s="140"/>
      <c r="B694" s="140"/>
      <c r="C694" s="140"/>
      <c r="D694" s="140"/>
      <c r="E694" s="140"/>
      <c r="F694" s="140"/>
      <c r="J694" s="140"/>
      <c r="K694" s="140"/>
      <c r="L694" s="140"/>
      <c r="M694" s="140"/>
      <c r="N694" s="140"/>
    </row>
    <row r="695" ht="15.75" customHeight="1">
      <c r="A695" s="140"/>
      <c r="B695" s="140"/>
      <c r="C695" s="140"/>
      <c r="D695" s="140"/>
      <c r="E695" s="140"/>
      <c r="F695" s="140"/>
      <c r="J695" s="140"/>
      <c r="K695" s="140"/>
      <c r="L695" s="140"/>
      <c r="M695" s="140"/>
      <c r="N695" s="140"/>
    </row>
    <row r="696" ht="15.75" customHeight="1">
      <c r="A696" s="140"/>
      <c r="B696" s="140"/>
      <c r="C696" s="140"/>
      <c r="D696" s="140"/>
      <c r="E696" s="140"/>
      <c r="F696" s="140"/>
      <c r="J696" s="140"/>
      <c r="K696" s="140"/>
      <c r="L696" s="140"/>
      <c r="M696" s="140"/>
      <c r="N696" s="140"/>
    </row>
    <row r="697" ht="15.75" customHeight="1">
      <c r="A697" s="140"/>
      <c r="B697" s="140"/>
      <c r="C697" s="140"/>
      <c r="D697" s="140"/>
      <c r="E697" s="140"/>
      <c r="F697" s="140"/>
      <c r="J697" s="140"/>
      <c r="K697" s="140"/>
      <c r="L697" s="140"/>
      <c r="M697" s="140"/>
      <c r="N697" s="140"/>
    </row>
    <row r="698" ht="15.75" customHeight="1">
      <c r="A698" s="140"/>
      <c r="B698" s="140"/>
      <c r="C698" s="140"/>
      <c r="D698" s="140"/>
      <c r="E698" s="140"/>
      <c r="F698" s="140"/>
      <c r="J698" s="140"/>
      <c r="K698" s="140"/>
      <c r="L698" s="140"/>
      <c r="M698" s="140"/>
      <c r="N698" s="140"/>
    </row>
    <row r="699" ht="15.75" customHeight="1">
      <c r="A699" s="140"/>
      <c r="B699" s="140"/>
      <c r="C699" s="140"/>
      <c r="D699" s="140"/>
      <c r="E699" s="140"/>
      <c r="F699" s="140"/>
      <c r="J699" s="140"/>
      <c r="K699" s="140"/>
      <c r="L699" s="140"/>
      <c r="M699" s="140"/>
      <c r="N699" s="140"/>
    </row>
    <row r="700" ht="15.75" customHeight="1">
      <c r="A700" s="140"/>
      <c r="B700" s="140"/>
      <c r="C700" s="140"/>
      <c r="D700" s="140"/>
      <c r="E700" s="140"/>
      <c r="F700" s="140"/>
      <c r="J700" s="140"/>
      <c r="K700" s="140"/>
      <c r="L700" s="140"/>
      <c r="M700" s="140"/>
      <c r="N700" s="140"/>
    </row>
    <row r="701" ht="15.75" customHeight="1">
      <c r="A701" s="140"/>
      <c r="B701" s="140"/>
      <c r="C701" s="140"/>
      <c r="D701" s="140"/>
      <c r="E701" s="140"/>
      <c r="F701" s="140"/>
      <c r="J701" s="140"/>
      <c r="K701" s="140"/>
      <c r="L701" s="140"/>
      <c r="M701" s="140"/>
      <c r="N701" s="140"/>
    </row>
    <row r="702" ht="15.75" customHeight="1">
      <c r="A702" s="140"/>
      <c r="B702" s="140"/>
      <c r="C702" s="140"/>
      <c r="D702" s="140"/>
      <c r="E702" s="140"/>
      <c r="F702" s="140"/>
      <c r="J702" s="140"/>
      <c r="K702" s="140"/>
      <c r="L702" s="140"/>
      <c r="M702" s="140"/>
      <c r="N702" s="140"/>
    </row>
    <row r="703" ht="15.75" customHeight="1">
      <c r="A703" s="140"/>
      <c r="B703" s="140"/>
      <c r="C703" s="140"/>
      <c r="D703" s="140"/>
      <c r="E703" s="140"/>
      <c r="F703" s="140"/>
      <c r="J703" s="140"/>
      <c r="K703" s="140"/>
      <c r="L703" s="140"/>
      <c r="M703" s="140"/>
      <c r="N703" s="140"/>
    </row>
    <row r="704" ht="15.75" customHeight="1">
      <c r="A704" s="140"/>
      <c r="B704" s="140"/>
      <c r="C704" s="140"/>
      <c r="D704" s="140"/>
      <c r="E704" s="140"/>
      <c r="F704" s="140"/>
      <c r="J704" s="140"/>
      <c r="K704" s="140"/>
      <c r="L704" s="140"/>
      <c r="M704" s="140"/>
      <c r="N704" s="140"/>
    </row>
    <row r="705" ht="15.75" customHeight="1">
      <c r="A705" s="140"/>
      <c r="B705" s="140"/>
      <c r="C705" s="140"/>
      <c r="D705" s="140"/>
      <c r="E705" s="140"/>
      <c r="F705" s="140"/>
      <c r="J705" s="140"/>
      <c r="K705" s="140"/>
      <c r="L705" s="140"/>
      <c r="M705" s="140"/>
      <c r="N705" s="140"/>
    </row>
    <row r="706" ht="15.75" customHeight="1">
      <c r="A706" s="140"/>
      <c r="B706" s="140"/>
      <c r="C706" s="140"/>
      <c r="D706" s="140"/>
      <c r="E706" s="140"/>
      <c r="F706" s="140"/>
      <c r="J706" s="140"/>
      <c r="K706" s="140"/>
      <c r="L706" s="140"/>
      <c r="M706" s="140"/>
      <c r="N706" s="140"/>
    </row>
    <row r="707" ht="15.75" customHeight="1">
      <c r="A707" s="140"/>
      <c r="B707" s="140"/>
      <c r="C707" s="140"/>
      <c r="D707" s="140"/>
      <c r="E707" s="140"/>
      <c r="F707" s="140"/>
      <c r="J707" s="140"/>
      <c r="K707" s="140"/>
      <c r="L707" s="140"/>
      <c r="M707" s="140"/>
      <c r="N707" s="140"/>
    </row>
    <row r="708" ht="15.75" customHeight="1">
      <c r="A708" s="140"/>
      <c r="B708" s="140"/>
      <c r="C708" s="140"/>
      <c r="D708" s="140"/>
      <c r="E708" s="140"/>
      <c r="F708" s="140"/>
      <c r="J708" s="140"/>
      <c r="K708" s="140"/>
      <c r="L708" s="140"/>
      <c r="M708" s="140"/>
      <c r="N708" s="140"/>
    </row>
    <row r="709" ht="15.75" customHeight="1">
      <c r="A709" s="140"/>
      <c r="B709" s="140"/>
      <c r="C709" s="140"/>
      <c r="D709" s="140"/>
      <c r="E709" s="140"/>
      <c r="F709" s="140"/>
      <c r="J709" s="140"/>
      <c r="K709" s="140"/>
      <c r="L709" s="140"/>
      <c r="M709" s="140"/>
      <c r="N709" s="140"/>
    </row>
    <row r="710" ht="15.75" customHeight="1">
      <c r="A710" s="140"/>
      <c r="B710" s="140"/>
      <c r="C710" s="140"/>
      <c r="D710" s="140"/>
      <c r="E710" s="140"/>
      <c r="F710" s="140"/>
      <c r="J710" s="140"/>
      <c r="K710" s="140"/>
      <c r="L710" s="140"/>
      <c r="M710" s="140"/>
      <c r="N710" s="140"/>
    </row>
    <row r="711" ht="15.75" customHeight="1">
      <c r="A711" s="140"/>
      <c r="B711" s="140"/>
      <c r="C711" s="140"/>
      <c r="D711" s="140"/>
      <c r="E711" s="140"/>
      <c r="F711" s="140"/>
      <c r="J711" s="140"/>
      <c r="K711" s="140"/>
      <c r="L711" s="140"/>
      <c r="M711" s="140"/>
      <c r="N711" s="140"/>
    </row>
    <row r="712" ht="15.75" customHeight="1">
      <c r="A712" s="140"/>
      <c r="B712" s="140"/>
      <c r="C712" s="140"/>
      <c r="D712" s="140"/>
      <c r="E712" s="140"/>
      <c r="F712" s="140"/>
      <c r="J712" s="140"/>
      <c r="K712" s="140"/>
      <c r="L712" s="140"/>
      <c r="M712" s="140"/>
      <c r="N712" s="140"/>
    </row>
    <row r="713" ht="15.75" customHeight="1">
      <c r="A713" s="140"/>
      <c r="B713" s="140"/>
      <c r="C713" s="140"/>
      <c r="D713" s="140"/>
      <c r="E713" s="140"/>
      <c r="F713" s="140"/>
      <c r="J713" s="140"/>
      <c r="K713" s="140"/>
      <c r="L713" s="140"/>
      <c r="M713" s="140"/>
      <c r="N713" s="140"/>
    </row>
    <row r="714" ht="15.75" customHeight="1">
      <c r="A714" s="140"/>
      <c r="B714" s="140"/>
      <c r="C714" s="140"/>
      <c r="D714" s="140"/>
      <c r="E714" s="140"/>
      <c r="F714" s="140"/>
      <c r="J714" s="140"/>
      <c r="K714" s="140"/>
      <c r="L714" s="140"/>
      <c r="M714" s="140"/>
      <c r="N714" s="140"/>
    </row>
    <row r="715" ht="15.75" customHeight="1">
      <c r="A715" s="140"/>
      <c r="B715" s="140"/>
      <c r="C715" s="140"/>
      <c r="D715" s="140"/>
      <c r="E715" s="140"/>
      <c r="F715" s="140"/>
      <c r="J715" s="140"/>
      <c r="K715" s="140"/>
      <c r="L715" s="140"/>
      <c r="M715" s="140"/>
      <c r="N715" s="140"/>
    </row>
    <row r="716" ht="15.75" customHeight="1">
      <c r="A716" s="140"/>
      <c r="B716" s="140"/>
      <c r="C716" s="140"/>
      <c r="D716" s="140"/>
      <c r="E716" s="140"/>
      <c r="F716" s="140"/>
      <c r="J716" s="140"/>
      <c r="K716" s="140"/>
      <c r="L716" s="140"/>
      <c r="M716" s="140"/>
      <c r="N716" s="140"/>
    </row>
    <row r="717" ht="15.75" customHeight="1">
      <c r="A717" s="140"/>
      <c r="B717" s="140"/>
      <c r="C717" s="140"/>
      <c r="D717" s="140"/>
      <c r="E717" s="140"/>
      <c r="F717" s="140"/>
      <c r="J717" s="140"/>
      <c r="K717" s="140"/>
      <c r="L717" s="140"/>
      <c r="M717" s="140"/>
      <c r="N717" s="140"/>
    </row>
    <row r="718" ht="15.75" customHeight="1">
      <c r="A718" s="140"/>
      <c r="B718" s="140"/>
      <c r="C718" s="140"/>
      <c r="D718" s="140"/>
      <c r="E718" s="140"/>
      <c r="F718" s="140"/>
      <c r="J718" s="140"/>
      <c r="K718" s="140"/>
      <c r="L718" s="140"/>
      <c r="M718" s="140"/>
      <c r="N718" s="140"/>
    </row>
    <row r="719" ht="15.75" customHeight="1">
      <c r="A719" s="140"/>
      <c r="B719" s="140"/>
      <c r="C719" s="140"/>
      <c r="D719" s="140"/>
      <c r="E719" s="140"/>
      <c r="F719" s="140"/>
      <c r="J719" s="140"/>
      <c r="K719" s="140"/>
      <c r="L719" s="140"/>
      <c r="M719" s="140"/>
      <c r="N719" s="140"/>
    </row>
    <row r="720" ht="15.75" customHeight="1">
      <c r="A720" s="140"/>
      <c r="B720" s="140"/>
      <c r="C720" s="140"/>
      <c r="D720" s="140"/>
      <c r="E720" s="140"/>
      <c r="F720" s="140"/>
      <c r="J720" s="140"/>
      <c r="K720" s="140"/>
      <c r="L720" s="140"/>
      <c r="M720" s="140"/>
      <c r="N720" s="140"/>
    </row>
    <row r="721" ht="15.75" customHeight="1">
      <c r="A721" s="140"/>
      <c r="B721" s="140"/>
      <c r="C721" s="140"/>
      <c r="D721" s="140"/>
      <c r="E721" s="140"/>
      <c r="F721" s="140"/>
      <c r="J721" s="140"/>
      <c r="K721" s="140"/>
      <c r="L721" s="140"/>
      <c r="M721" s="140"/>
      <c r="N721" s="140"/>
    </row>
    <row r="722" ht="15.75" customHeight="1">
      <c r="A722" s="140"/>
      <c r="B722" s="140"/>
      <c r="C722" s="140"/>
      <c r="D722" s="140"/>
      <c r="E722" s="140"/>
      <c r="F722" s="140"/>
      <c r="J722" s="140"/>
      <c r="K722" s="140"/>
      <c r="L722" s="140"/>
      <c r="M722" s="140"/>
      <c r="N722" s="140"/>
    </row>
    <row r="723" ht="15.75" customHeight="1">
      <c r="A723" s="140"/>
      <c r="B723" s="140"/>
      <c r="C723" s="140"/>
      <c r="D723" s="140"/>
      <c r="E723" s="140"/>
      <c r="F723" s="140"/>
      <c r="J723" s="140"/>
      <c r="K723" s="140"/>
      <c r="L723" s="140"/>
      <c r="M723" s="140"/>
      <c r="N723" s="140"/>
    </row>
    <row r="724" ht="15.75" customHeight="1">
      <c r="A724" s="140"/>
      <c r="B724" s="140"/>
      <c r="C724" s="140"/>
      <c r="D724" s="140"/>
      <c r="E724" s="140"/>
      <c r="F724" s="140"/>
      <c r="J724" s="140"/>
      <c r="K724" s="140"/>
      <c r="L724" s="140"/>
      <c r="M724" s="140"/>
      <c r="N724" s="140"/>
    </row>
    <row r="725" ht="15.75" customHeight="1">
      <c r="A725" s="140"/>
      <c r="B725" s="140"/>
      <c r="C725" s="140"/>
      <c r="D725" s="140"/>
      <c r="E725" s="140"/>
      <c r="F725" s="140"/>
      <c r="J725" s="140"/>
      <c r="K725" s="140"/>
      <c r="L725" s="140"/>
      <c r="M725" s="140"/>
      <c r="N725" s="140"/>
    </row>
    <row r="726" ht="15.75" customHeight="1">
      <c r="A726" s="140"/>
      <c r="B726" s="140"/>
      <c r="C726" s="140"/>
      <c r="D726" s="140"/>
      <c r="E726" s="140"/>
      <c r="F726" s="140"/>
      <c r="J726" s="140"/>
      <c r="K726" s="140"/>
      <c r="L726" s="140"/>
      <c r="M726" s="140"/>
      <c r="N726" s="140"/>
    </row>
    <row r="727" ht="15.75" customHeight="1">
      <c r="A727" s="140"/>
      <c r="B727" s="140"/>
      <c r="C727" s="140"/>
      <c r="D727" s="140"/>
      <c r="E727" s="140"/>
      <c r="F727" s="140"/>
      <c r="J727" s="140"/>
      <c r="K727" s="140"/>
      <c r="L727" s="140"/>
      <c r="M727" s="140"/>
      <c r="N727" s="140"/>
    </row>
    <row r="728" ht="15.75" customHeight="1">
      <c r="A728" s="140"/>
      <c r="B728" s="140"/>
      <c r="C728" s="140"/>
      <c r="D728" s="140"/>
      <c r="E728" s="140"/>
      <c r="F728" s="140"/>
      <c r="J728" s="140"/>
      <c r="K728" s="140"/>
      <c r="L728" s="140"/>
      <c r="M728" s="140"/>
      <c r="N728" s="140"/>
    </row>
    <row r="729" ht="15.75" customHeight="1">
      <c r="A729" s="140"/>
      <c r="B729" s="140"/>
      <c r="C729" s="140"/>
      <c r="D729" s="140"/>
      <c r="E729" s="140"/>
      <c r="F729" s="140"/>
      <c r="J729" s="140"/>
      <c r="K729" s="140"/>
      <c r="L729" s="140"/>
      <c r="M729" s="140"/>
      <c r="N729" s="140"/>
    </row>
    <row r="730" ht="15.75" customHeight="1">
      <c r="A730" s="140"/>
      <c r="B730" s="140"/>
      <c r="C730" s="140"/>
      <c r="D730" s="140"/>
      <c r="E730" s="140"/>
      <c r="F730" s="140"/>
      <c r="J730" s="140"/>
      <c r="K730" s="140"/>
      <c r="L730" s="140"/>
      <c r="M730" s="140"/>
      <c r="N730" s="140"/>
    </row>
    <row r="731" ht="15.75" customHeight="1">
      <c r="A731" s="140"/>
      <c r="B731" s="140"/>
      <c r="C731" s="140"/>
      <c r="D731" s="140"/>
      <c r="E731" s="140"/>
      <c r="F731" s="140"/>
      <c r="J731" s="140"/>
      <c r="K731" s="140"/>
      <c r="L731" s="140"/>
      <c r="M731" s="140"/>
      <c r="N731" s="140"/>
    </row>
    <row r="732" ht="15.75" customHeight="1">
      <c r="A732" s="140"/>
      <c r="B732" s="140"/>
      <c r="C732" s="140"/>
      <c r="D732" s="140"/>
      <c r="E732" s="140"/>
      <c r="F732" s="140"/>
      <c r="J732" s="140"/>
      <c r="K732" s="140"/>
      <c r="L732" s="140"/>
      <c r="M732" s="140"/>
      <c r="N732" s="140"/>
    </row>
    <row r="733" ht="15.75" customHeight="1">
      <c r="A733" s="140"/>
      <c r="B733" s="140"/>
      <c r="C733" s="140"/>
      <c r="D733" s="140"/>
      <c r="E733" s="140"/>
      <c r="F733" s="140"/>
      <c r="J733" s="140"/>
      <c r="K733" s="140"/>
      <c r="L733" s="140"/>
      <c r="M733" s="140"/>
      <c r="N733" s="140"/>
    </row>
    <row r="734" ht="15.75" customHeight="1">
      <c r="A734" s="140"/>
      <c r="B734" s="140"/>
      <c r="C734" s="140"/>
      <c r="D734" s="140"/>
      <c r="E734" s="140"/>
      <c r="F734" s="140"/>
      <c r="J734" s="140"/>
      <c r="K734" s="140"/>
      <c r="L734" s="140"/>
      <c r="M734" s="140"/>
      <c r="N734" s="140"/>
    </row>
    <row r="735" ht="15.75" customHeight="1">
      <c r="A735" s="140"/>
      <c r="B735" s="140"/>
      <c r="C735" s="140"/>
      <c r="D735" s="140"/>
      <c r="E735" s="140"/>
      <c r="F735" s="140"/>
      <c r="J735" s="140"/>
      <c r="K735" s="140"/>
      <c r="L735" s="140"/>
      <c r="M735" s="140"/>
      <c r="N735" s="140"/>
    </row>
    <row r="736" ht="15.75" customHeight="1">
      <c r="A736" s="140"/>
      <c r="B736" s="140"/>
      <c r="C736" s="140"/>
      <c r="D736" s="140"/>
      <c r="E736" s="140"/>
      <c r="F736" s="140"/>
      <c r="J736" s="140"/>
      <c r="K736" s="140"/>
      <c r="L736" s="140"/>
      <c r="M736" s="140"/>
      <c r="N736" s="140"/>
    </row>
    <row r="737" ht="15.75" customHeight="1">
      <c r="A737" s="140"/>
      <c r="B737" s="140"/>
      <c r="C737" s="140"/>
      <c r="D737" s="140"/>
      <c r="E737" s="140"/>
      <c r="F737" s="140"/>
      <c r="J737" s="140"/>
      <c r="K737" s="140"/>
      <c r="L737" s="140"/>
      <c r="M737" s="140"/>
      <c r="N737" s="140"/>
    </row>
    <row r="738" ht="15.75" customHeight="1">
      <c r="A738" s="140"/>
      <c r="B738" s="140"/>
      <c r="C738" s="140"/>
      <c r="D738" s="140"/>
      <c r="E738" s="140"/>
      <c r="F738" s="140"/>
      <c r="J738" s="140"/>
      <c r="K738" s="140"/>
      <c r="L738" s="140"/>
      <c r="M738" s="140"/>
      <c r="N738" s="140"/>
    </row>
    <row r="739" ht="15.75" customHeight="1">
      <c r="A739" s="140"/>
      <c r="B739" s="140"/>
      <c r="C739" s="140"/>
      <c r="D739" s="140"/>
      <c r="E739" s="140"/>
      <c r="F739" s="140"/>
      <c r="J739" s="140"/>
      <c r="K739" s="140"/>
      <c r="L739" s="140"/>
      <c r="M739" s="140"/>
      <c r="N739" s="140"/>
    </row>
    <row r="740" ht="15.75" customHeight="1">
      <c r="A740" s="140"/>
      <c r="B740" s="140"/>
      <c r="C740" s="140"/>
      <c r="D740" s="140"/>
      <c r="E740" s="140"/>
      <c r="F740" s="140"/>
      <c r="J740" s="140"/>
      <c r="K740" s="140"/>
      <c r="L740" s="140"/>
      <c r="M740" s="140"/>
      <c r="N740" s="140"/>
    </row>
    <row r="741" ht="15.75" customHeight="1">
      <c r="A741" s="140"/>
      <c r="B741" s="140"/>
      <c r="C741" s="140"/>
      <c r="D741" s="140"/>
      <c r="E741" s="140"/>
      <c r="F741" s="140"/>
      <c r="J741" s="140"/>
      <c r="K741" s="140"/>
      <c r="L741" s="140"/>
      <c r="M741" s="140"/>
      <c r="N741" s="140"/>
    </row>
    <row r="742" ht="15.75" customHeight="1">
      <c r="A742" s="140"/>
      <c r="B742" s="140"/>
      <c r="C742" s="140"/>
      <c r="D742" s="140"/>
      <c r="E742" s="140"/>
      <c r="F742" s="140"/>
      <c r="J742" s="140"/>
      <c r="K742" s="140"/>
      <c r="L742" s="140"/>
      <c r="M742" s="140"/>
      <c r="N742" s="140"/>
    </row>
    <row r="743" ht="15.75" customHeight="1">
      <c r="A743" s="140"/>
      <c r="B743" s="140"/>
      <c r="C743" s="140"/>
      <c r="D743" s="140"/>
      <c r="E743" s="140"/>
      <c r="F743" s="140"/>
      <c r="J743" s="140"/>
      <c r="K743" s="140"/>
      <c r="L743" s="140"/>
      <c r="M743" s="140"/>
      <c r="N743" s="140"/>
    </row>
    <row r="744" ht="15.75" customHeight="1">
      <c r="A744" s="140"/>
      <c r="B744" s="140"/>
      <c r="C744" s="140"/>
      <c r="D744" s="140"/>
      <c r="E744" s="140"/>
      <c r="F744" s="140"/>
      <c r="J744" s="140"/>
      <c r="K744" s="140"/>
      <c r="L744" s="140"/>
      <c r="M744" s="140"/>
      <c r="N744" s="140"/>
    </row>
    <row r="745" ht="15.75" customHeight="1">
      <c r="A745" s="140"/>
      <c r="B745" s="140"/>
      <c r="C745" s="140"/>
      <c r="D745" s="140"/>
      <c r="E745" s="140"/>
      <c r="F745" s="140"/>
      <c r="J745" s="140"/>
      <c r="K745" s="140"/>
      <c r="L745" s="140"/>
      <c r="M745" s="140"/>
      <c r="N745" s="140"/>
    </row>
    <row r="746" ht="15.75" customHeight="1">
      <c r="A746" s="140"/>
      <c r="B746" s="140"/>
      <c r="C746" s="140"/>
      <c r="D746" s="140"/>
      <c r="E746" s="140"/>
      <c r="F746" s="140"/>
      <c r="J746" s="140"/>
      <c r="K746" s="140"/>
      <c r="L746" s="140"/>
      <c r="M746" s="140"/>
      <c r="N746" s="140"/>
    </row>
    <row r="747" ht="15.75" customHeight="1">
      <c r="A747" s="140"/>
      <c r="B747" s="140"/>
      <c r="C747" s="140"/>
      <c r="D747" s="140"/>
      <c r="E747" s="140"/>
      <c r="F747" s="140"/>
      <c r="J747" s="140"/>
      <c r="K747" s="140"/>
      <c r="L747" s="140"/>
      <c r="M747" s="140"/>
      <c r="N747" s="140"/>
    </row>
    <row r="748" ht="15.75" customHeight="1">
      <c r="A748" s="140"/>
      <c r="B748" s="140"/>
      <c r="C748" s="140"/>
      <c r="D748" s="140"/>
      <c r="E748" s="140"/>
      <c r="F748" s="140"/>
      <c r="J748" s="140"/>
      <c r="K748" s="140"/>
      <c r="L748" s="140"/>
      <c r="M748" s="140"/>
      <c r="N748" s="140"/>
    </row>
    <row r="749" ht="15.75" customHeight="1">
      <c r="A749" s="140"/>
      <c r="B749" s="140"/>
      <c r="C749" s="140"/>
      <c r="D749" s="140"/>
      <c r="E749" s="140"/>
      <c r="F749" s="140"/>
      <c r="J749" s="140"/>
      <c r="K749" s="140"/>
      <c r="L749" s="140"/>
      <c r="M749" s="140"/>
      <c r="N749" s="140"/>
    </row>
    <row r="750" ht="15.75" customHeight="1">
      <c r="A750" s="140"/>
      <c r="B750" s="140"/>
      <c r="C750" s="140"/>
      <c r="D750" s="140"/>
      <c r="E750" s="140"/>
      <c r="F750" s="140"/>
      <c r="J750" s="140"/>
      <c r="K750" s="140"/>
      <c r="L750" s="140"/>
      <c r="M750" s="140"/>
      <c r="N750" s="140"/>
    </row>
    <row r="751" ht="15.75" customHeight="1">
      <c r="A751" s="140"/>
      <c r="B751" s="140"/>
      <c r="C751" s="140"/>
      <c r="D751" s="140"/>
      <c r="E751" s="140"/>
      <c r="F751" s="140"/>
      <c r="J751" s="140"/>
      <c r="K751" s="140"/>
      <c r="L751" s="140"/>
      <c r="M751" s="140"/>
      <c r="N751" s="140"/>
    </row>
    <row r="752" ht="15.75" customHeight="1">
      <c r="A752" s="140"/>
      <c r="B752" s="140"/>
      <c r="C752" s="140"/>
      <c r="D752" s="140"/>
      <c r="E752" s="140"/>
      <c r="F752" s="140"/>
      <c r="J752" s="140"/>
      <c r="K752" s="140"/>
      <c r="L752" s="140"/>
      <c r="M752" s="140"/>
      <c r="N752" s="140"/>
    </row>
    <row r="753" ht="15.75" customHeight="1">
      <c r="A753" s="140"/>
      <c r="B753" s="140"/>
      <c r="C753" s="140"/>
      <c r="D753" s="140"/>
      <c r="E753" s="140"/>
      <c r="F753" s="140"/>
      <c r="J753" s="140"/>
      <c r="K753" s="140"/>
      <c r="L753" s="140"/>
      <c r="M753" s="140"/>
      <c r="N753" s="140"/>
    </row>
    <row r="754" ht="15.75" customHeight="1">
      <c r="A754" s="140"/>
      <c r="B754" s="140"/>
      <c r="C754" s="140"/>
      <c r="D754" s="140"/>
      <c r="E754" s="140"/>
      <c r="F754" s="140"/>
      <c r="J754" s="140"/>
      <c r="K754" s="140"/>
      <c r="L754" s="140"/>
      <c r="M754" s="140"/>
      <c r="N754" s="140"/>
    </row>
    <row r="755" ht="15.75" customHeight="1">
      <c r="A755" s="140"/>
      <c r="B755" s="140"/>
      <c r="C755" s="140"/>
      <c r="D755" s="140"/>
      <c r="E755" s="140"/>
      <c r="F755" s="140"/>
      <c r="J755" s="140"/>
      <c r="K755" s="140"/>
      <c r="L755" s="140"/>
      <c r="M755" s="140"/>
      <c r="N755" s="140"/>
    </row>
    <row r="756" ht="15.75" customHeight="1">
      <c r="A756" s="140"/>
      <c r="B756" s="140"/>
      <c r="C756" s="140"/>
      <c r="D756" s="140"/>
      <c r="E756" s="140"/>
      <c r="F756" s="140"/>
      <c r="J756" s="140"/>
      <c r="K756" s="140"/>
      <c r="L756" s="140"/>
      <c r="M756" s="140"/>
      <c r="N756" s="140"/>
    </row>
    <row r="757" ht="15.75" customHeight="1">
      <c r="A757" s="140"/>
      <c r="B757" s="140"/>
      <c r="C757" s="140"/>
      <c r="D757" s="140"/>
      <c r="E757" s="140"/>
      <c r="F757" s="140"/>
      <c r="J757" s="140"/>
      <c r="K757" s="140"/>
      <c r="L757" s="140"/>
      <c r="M757" s="140"/>
      <c r="N757" s="140"/>
    </row>
    <row r="758" ht="15.75" customHeight="1">
      <c r="A758" s="140"/>
      <c r="B758" s="140"/>
      <c r="C758" s="140"/>
      <c r="D758" s="140"/>
      <c r="E758" s="140"/>
      <c r="F758" s="140"/>
      <c r="J758" s="140"/>
      <c r="K758" s="140"/>
      <c r="L758" s="140"/>
      <c r="M758" s="140"/>
      <c r="N758" s="140"/>
    </row>
    <row r="759" ht="15.75" customHeight="1">
      <c r="A759" s="140"/>
      <c r="B759" s="140"/>
      <c r="C759" s="140"/>
      <c r="D759" s="140"/>
      <c r="E759" s="140"/>
      <c r="F759" s="140"/>
      <c r="J759" s="140"/>
      <c r="K759" s="140"/>
      <c r="L759" s="140"/>
      <c r="M759" s="140"/>
      <c r="N759" s="140"/>
    </row>
    <row r="760" ht="15.75" customHeight="1">
      <c r="A760" s="140"/>
      <c r="B760" s="140"/>
      <c r="C760" s="140"/>
      <c r="D760" s="140"/>
      <c r="E760" s="140"/>
      <c r="F760" s="140"/>
      <c r="J760" s="140"/>
      <c r="K760" s="140"/>
      <c r="L760" s="140"/>
      <c r="M760" s="140"/>
      <c r="N760" s="140"/>
    </row>
    <row r="761" ht="15.75" customHeight="1">
      <c r="A761" s="140"/>
      <c r="B761" s="140"/>
      <c r="C761" s="140"/>
      <c r="D761" s="140"/>
      <c r="E761" s="140"/>
      <c r="F761" s="140"/>
      <c r="J761" s="140"/>
      <c r="K761" s="140"/>
      <c r="L761" s="140"/>
      <c r="M761" s="140"/>
      <c r="N761" s="140"/>
    </row>
    <row r="762" ht="15.75" customHeight="1">
      <c r="A762" s="140"/>
      <c r="B762" s="140"/>
      <c r="C762" s="140"/>
      <c r="D762" s="140"/>
      <c r="E762" s="140"/>
      <c r="F762" s="140"/>
      <c r="J762" s="140"/>
      <c r="K762" s="140"/>
      <c r="L762" s="140"/>
      <c r="M762" s="140"/>
      <c r="N762" s="140"/>
    </row>
    <row r="763" ht="15.75" customHeight="1">
      <c r="A763" s="140"/>
      <c r="B763" s="140"/>
      <c r="C763" s="140"/>
      <c r="D763" s="140"/>
      <c r="E763" s="140"/>
      <c r="F763" s="140"/>
      <c r="J763" s="140"/>
      <c r="K763" s="140"/>
      <c r="L763" s="140"/>
      <c r="M763" s="140"/>
      <c r="N763" s="140"/>
    </row>
    <row r="764" ht="15.75" customHeight="1">
      <c r="A764" s="140"/>
      <c r="B764" s="140"/>
      <c r="C764" s="140"/>
      <c r="D764" s="140"/>
      <c r="E764" s="140"/>
      <c r="F764" s="140"/>
      <c r="J764" s="140"/>
      <c r="K764" s="140"/>
      <c r="L764" s="140"/>
      <c r="M764" s="140"/>
      <c r="N764" s="140"/>
    </row>
    <row r="765" ht="15.75" customHeight="1">
      <c r="A765" s="140"/>
      <c r="B765" s="140"/>
      <c r="C765" s="140"/>
      <c r="D765" s="140"/>
      <c r="E765" s="140"/>
      <c r="F765" s="140"/>
      <c r="J765" s="140"/>
      <c r="K765" s="140"/>
      <c r="L765" s="140"/>
      <c r="M765" s="140"/>
      <c r="N765" s="140"/>
    </row>
    <row r="766" ht="15.75" customHeight="1">
      <c r="A766" s="140"/>
      <c r="B766" s="140"/>
      <c r="C766" s="140"/>
      <c r="D766" s="140"/>
      <c r="E766" s="140"/>
      <c r="F766" s="140"/>
      <c r="J766" s="140"/>
      <c r="K766" s="140"/>
      <c r="L766" s="140"/>
      <c r="M766" s="140"/>
      <c r="N766" s="140"/>
    </row>
    <row r="767" ht="15.75" customHeight="1">
      <c r="A767" s="140"/>
      <c r="B767" s="140"/>
      <c r="C767" s="140"/>
      <c r="D767" s="140"/>
      <c r="E767" s="140"/>
      <c r="F767" s="140"/>
      <c r="J767" s="140"/>
      <c r="K767" s="140"/>
      <c r="L767" s="140"/>
      <c r="M767" s="140"/>
      <c r="N767" s="140"/>
    </row>
    <row r="768" ht="15.75" customHeight="1">
      <c r="A768" s="140"/>
      <c r="B768" s="140"/>
      <c r="C768" s="140"/>
      <c r="D768" s="140"/>
      <c r="E768" s="140"/>
      <c r="F768" s="140"/>
      <c r="J768" s="140"/>
      <c r="K768" s="140"/>
      <c r="L768" s="140"/>
      <c r="M768" s="140"/>
      <c r="N768" s="140"/>
    </row>
    <row r="769" ht="15.75" customHeight="1">
      <c r="A769" s="140"/>
      <c r="B769" s="140"/>
      <c r="C769" s="140"/>
      <c r="D769" s="140"/>
      <c r="E769" s="140"/>
      <c r="F769" s="140"/>
      <c r="J769" s="140"/>
      <c r="K769" s="140"/>
      <c r="L769" s="140"/>
      <c r="M769" s="140"/>
      <c r="N769" s="140"/>
    </row>
    <row r="770" ht="15.75" customHeight="1">
      <c r="A770" s="140"/>
      <c r="B770" s="140"/>
      <c r="C770" s="140"/>
      <c r="D770" s="140"/>
      <c r="E770" s="140"/>
      <c r="F770" s="140"/>
      <c r="J770" s="140"/>
      <c r="K770" s="140"/>
      <c r="L770" s="140"/>
      <c r="M770" s="140"/>
      <c r="N770" s="140"/>
    </row>
    <row r="771" ht="15.75" customHeight="1">
      <c r="A771" s="140"/>
      <c r="B771" s="140"/>
      <c r="C771" s="140"/>
      <c r="D771" s="140"/>
      <c r="E771" s="140"/>
      <c r="F771" s="140"/>
      <c r="J771" s="140"/>
      <c r="K771" s="140"/>
      <c r="L771" s="140"/>
      <c r="M771" s="140"/>
      <c r="N771" s="140"/>
    </row>
    <row r="772" ht="15.75" customHeight="1">
      <c r="A772" s="140"/>
      <c r="B772" s="140"/>
      <c r="C772" s="140"/>
      <c r="D772" s="140"/>
      <c r="E772" s="140"/>
      <c r="F772" s="140"/>
      <c r="J772" s="140"/>
      <c r="K772" s="140"/>
      <c r="L772" s="140"/>
      <c r="M772" s="140"/>
      <c r="N772" s="140"/>
    </row>
    <row r="773" ht="15.75" customHeight="1">
      <c r="A773" s="140"/>
      <c r="B773" s="140"/>
      <c r="C773" s="140"/>
      <c r="D773" s="140"/>
      <c r="E773" s="140"/>
      <c r="F773" s="140"/>
      <c r="J773" s="140"/>
      <c r="K773" s="140"/>
      <c r="L773" s="140"/>
      <c r="M773" s="140"/>
      <c r="N773" s="140"/>
    </row>
    <row r="774" ht="15.75" customHeight="1">
      <c r="A774" s="140"/>
      <c r="B774" s="140"/>
      <c r="C774" s="140"/>
      <c r="D774" s="140"/>
      <c r="E774" s="140"/>
      <c r="F774" s="140"/>
      <c r="J774" s="140"/>
      <c r="K774" s="140"/>
      <c r="L774" s="140"/>
      <c r="M774" s="140"/>
      <c r="N774" s="140"/>
    </row>
    <row r="775" ht="15.75" customHeight="1">
      <c r="A775" s="140"/>
      <c r="B775" s="140"/>
      <c r="C775" s="140"/>
      <c r="D775" s="140"/>
      <c r="E775" s="140"/>
      <c r="F775" s="140"/>
      <c r="J775" s="140"/>
      <c r="K775" s="140"/>
      <c r="L775" s="140"/>
      <c r="M775" s="140"/>
      <c r="N775" s="140"/>
    </row>
    <row r="776" ht="15.75" customHeight="1">
      <c r="A776" s="140"/>
      <c r="B776" s="140"/>
      <c r="C776" s="140"/>
      <c r="D776" s="140"/>
      <c r="E776" s="140"/>
      <c r="F776" s="140"/>
      <c r="J776" s="140"/>
      <c r="K776" s="140"/>
      <c r="L776" s="140"/>
      <c r="M776" s="140"/>
      <c r="N776" s="140"/>
    </row>
    <row r="777" ht="15.75" customHeight="1">
      <c r="A777" s="140"/>
      <c r="B777" s="140"/>
      <c r="C777" s="140"/>
      <c r="D777" s="140"/>
      <c r="E777" s="140"/>
      <c r="F777" s="140"/>
      <c r="J777" s="140"/>
      <c r="K777" s="140"/>
      <c r="L777" s="140"/>
      <c r="M777" s="140"/>
      <c r="N777" s="140"/>
    </row>
    <row r="778" ht="15.75" customHeight="1">
      <c r="A778" s="140"/>
      <c r="B778" s="140"/>
      <c r="C778" s="140"/>
      <c r="D778" s="140"/>
      <c r="E778" s="140"/>
      <c r="F778" s="140"/>
      <c r="J778" s="140"/>
      <c r="K778" s="140"/>
      <c r="L778" s="140"/>
      <c r="M778" s="140"/>
      <c r="N778" s="140"/>
    </row>
    <row r="779" ht="15.75" customHeight="1">
      <c r="A779" s="140"/>
      <c r="B779" s="140"/>
      <c r="C779" s="140"/>
      <c r="D779" s="140"/>
      <c r="E779" s="140"/>
      <c r="F779" s="140"/>
      <c r="J779" s="140"/>
      <c r="K779" s="140"/>
      <c r="L779" s="140"/>
      <c r="M779" s="140"/>
      <c r="N779" s="140"/>
    </row>
    <row r="780" ht="15.75" customHeight="1">
      <c r="A780" s="140"/>
      <c r="B780" s="140"/>
      <c r="C780" s="140"/>
      <c r="D780" s="140"/>
      <c r="E780" s="140"/>
      <c r="F780" s="140"/>
      <c r="J780" s="140"/>
      <c r="K780" s="140"/>
      <c r="L780" s="140"/>
      <c r="M780" s="140"/>
      <c r="N780" s="140"/>
    </row>
    <row r="781" ht="15.75" customHeight="1">
      <c r="A781" s="140"/>
      <c r="B781" s="140"/>
      <c r="C781" s="140"/>
      <c r="D781" s="140"/>
      <c r="E781" s="140"/>
      <c r="F781" s="140"/>
      <c r="J781" s="140"/>
      <c r="K781" s="140"/>
      <c r="L781" s="140"/>
      <c r="M781" s="140"/>
      <c r="N781" s="140"/>
    </row>
    <row r="782" ht="15.75" customHeight="1">
      <c r="A782" s="140"/>
      <c r="B782" s="140"/>
      <c r="C782" s="140"/>
      <c r="D782" s="140"/>
      <c r="E782" s="140"/>
      <c r="F782" s="140"/>
      <c r="J782" s="140"/>
      <c r="K782" s="140"/>
      <c r="L782" s="140"/>
      <c r="M782" s="140"/>
      <c r="N782" s="140"/>
    </row>
    <row r="783" ht="15.75" customHeight="1">
      <c r="A783" s="140"/>
      <c r="B783" s="140"/>
      <c r="C783" s="140"/>
      <c r="D783" s="140"/>
      <c r="E783" s="140"/>
      <c r="F783" s="140"/>
      <c r="J783" s="140"/>
      <c r="K783" s="140"/>
      <c r="L783" s="140"/>
      <c r="M783" s="140"/>
      <c r="N783" s="140"/>
    </row>
    <row r="784" ht="15.75" customHeight="1">
      <c r="A784" s="140"/>
      <c r="B784" s="140"/>
      <c r="C784" s="140"/>
      <c r="D784" s="140"/>
      <c r="E784" s="140"/>
      <c r="F784" s="140"/>
      <c r="J784" s="140"/>
      <c r="K784" s="140"/>
      <c r="L784" s="140"/>
      <c r="M784" s="140"/>
      <c r="N784" s="140"/>
    </row>
    <row r="785" ht="15.75" customHeight="1">
      <c r="A785" s="140"/>
      <c r="B785" s="140"/>
      <c r="C785" s="140"/>
      <c r="D785" s="140"/>
      <c r="E785" s="140"/>
      <c r="F785" s="140"/>
      <c r="J785" s="140"/>
      <c r="K785" s="140"/>
      <c r="L785" s="140"/>
      <c r="M785" s="140"/>
      <c r="N785" s="140"/>
    </row>
    <row r="786" ht="15.75" customHeight="1">
      <c r="A786" s="140"/>
      <c r="B786" s="140"/>
      <c r="C786" s="140"/>
      <c r="D786" s="140"/>
      <c r="E786" s="140"/>
      <c r="F786" s="140"/>
      <c r="J786" s="140"/>
      <c r="K786" s="140"/>
      <c r="L786" s="140"/>
      <c r="M786" s="140"/>
      <c r="N786" s="140"/>
    </row>
    <row r="787" ht="15.75" customHeight="1">
      <c r="A787" s="140"/>
      <c r="B787" s="140"/>
      <c r="C787" s="140"/>
      <c r="D787" s="140"/>
      <c r="E787" s="140"/>
      <c r="F787" s="140"/>
      <c r="J787" s="140"/>
      <c r="K787" s="140"/>
      <c r="L787" s="140"/>
      <c r="M787" s="140"/>
      <c r="N787" s="140"/>
    </row>
    <row r="788" ht="15.75" customHeight="1">
      <c r="A788" s="140"/>
      <c r="B788" s="140"/>
      <c r="C788" s="140"/>
      <c r="D788" s="140"/>
      <c r="E788" s="140"/>
      <c r="F788" s="140"/>
      <c r="J788" s="140"/>
      <c r="K788" s="140"/>
      <c r="L788" s="140"/>
      <c r="M788" s="140"/>
      <c r="N788" s="140"/>
    </row>
    <row r="789" ht="15.75" customHeight="1">
      <c r="A789" s="140"/>
      <c r="B789" s="140"/>
      <c r="C789" s="140"/>
      <c r="D789" s="140"/>
      <c r="E789" s="140"/>
      <c r="F789" s="140"/>
      <c r="J789" s="140"/>
      <c r="K789" s="140"/>
      <c r="L789" s="140"/>
      <c r="M789" s="140"/>
      <c r="N789" s="140"/>
    </row>
    <row r="790" ht="15.75" customHeight="1">
      <c r="A790" s="140"/>
      <c r="B790" s="140"/>
      <c r="C790" s="140"/>
      <c r="D790" s="140"/>
      <c r="E790" s="140"/>
      <c r="F790" s="140"/>
      <c r="J790" s="140"/>
      <c r="K790" s="140"/>
      <c r="L790" s="140"/>
      <c r="M790" s="140"/>
      <c r="N790" s="140"/>
    </row>
    <row r="791" ht="15.75" customHeight="1">
      <c r="A791" s="140"/>
      <c r="B791" s="140"/>
      <c r="C791" s="140"/>
      <c r="D791" s="140"/>
      <c r="E791" s="140"/>
      <c r="F791" s="140"/>
      <c r="J791" s="140"/>
      <c r="K791" s="140"/>
      <c r="L791" s="140"/>
      <c r="M791" s="140"/>
      <c r="N791" s="140"/>
    </row>
    <row r="792" ht="15.75" customHeight="1">
      <c r="A792" s="140"/>
      <c r="B792" s="140"/>
      <c r="C792" s="140"/>
      <c r="D792" s="140"/>
      <c r="E792" s="140"/>
      <c r="F792" s="140"/>
      <c r="J792" s="140"/>
      <c r="K792" s="140"/>
      <c r="L792" s="140"/>
      <c r="M792" s="140"/>
      <c r="N792" s="140"/>
    </row>
    <row r="793" ht="15.75" customHeight="1">
      <c r="A793" s="140"/>
      <c r="B793" s="140"/>
      <c r="C793" s="140"/>
      <c r="D793" s="140"/>
      <c r="E793" s="140"/>
      <c r="F793" s="140"/>
      <c r="J793" s="140"/>
      <c r="K793" s="140"/>
      <c r="L793" s="140"/>
      <c r="M793" s="140"/>
      <c r="N793" s="140"/>
    </row>
    <row r="794" ht="15.75" customHeight="1">
      <c r="A794" s="140"/>
      <c r="B794" s="140"/>
      <c r="C794" s="140"/>
      <c r="D794" s="140"/>
      <c r="E794" s="140"/>
      <c r="F794" s="140"/>
      <c r="J794" s="140"/>
      <c r="K794" s="140"/>
      <c r="L794" s="140"/>
      <c r="M794" s="140"/>
      <c r="N794" s="140"/>
    </row>
    <row r="795" ht="15.75" customHeight="1">
      <c r="A795" s="140"/>
      <c r="B795" s="140"/>
      <c r="C795" s="140"/>
      <c r="D795" s="140"/>
      <c r="E795" s="140"/>
      <c r="F795" s="140"/>
      <c r="J795" s="140"/>
      <c r="K795" s="140"/>
      <c r="L795" s="140"/>
      <c r="M795" s="140"/>
      <c r="N795" s="140"/>
    </row>
    <row r="796" ht="15.75" customHeight="1">
      <c r="A796" s="140"/>
      <c r="B796" s="140"/>
      <c r="C796" s="140"/>
      <c r="D796" s="140"/>
      <c r="E796" s="140"/>
      <c r="F796" s="140"/>
      <c r="J796" s="140"/>
      <c r="K796" s="140"/>
      <c r="L796" s="140"/>
      <c r="M796" s="140"/>
      <c r="N796" s="140"/>
    </row>
    <row r="797" ht="15.75" customHeight="1">
      <c r="A797" s="140"/>
      <c r="B797" s="140"/>
      <c r="C797" s="140"/>
      <c r="D797" s="140"/>
      <c r="E797" s="140"/>
      <c r="F797" s="140"/>
      <c r="J797" s="140"/>
      <c r="K797" s="140"/>
      <c r="L797" s="140"/>
      <c r="M797" s="140"/>
      <c r="N797" s="140"/>
    </row>
    <row r="798" ht="15.75" customHeight="1">
      <c r="A798" s="140"/>
      <c r="B798" s="140"/>
      <c r="C798" s="140"/>
      <c r="D798" s="140"/>
      <c r="E798" s="140"/>
      <c r="F798" s="140"/>
      <c r="J798" s="140"/>
      <c r="K798" s="140"/>
      <c r="L798" s="140"/>
      <c r="M798" s="140"/>
      <c r="N798" s="140"/>
    </row>
    <row r="799" ht="15.75" customHeight="1">
      <c r="A799" s="140"/>
      <c r="B799" s="140"/>
      <c r="C799" s="140"/>
      <c r="D799" s="140"/>
      <c r="E799" s="140"/>
      <c r="F799" s="140"/>
      <c r="J799" s="140"/>
      <c r="K799" s="140"/>
      <c r="L799" s="140"/>
      <c r="M799" s="140"/>
      <c r="N799" s="140"/>
    </row>
    <row r="800" ht="15.75" customHeight="1">
      <c r="A800" s="140"/>
      <c r="B800" s="140"/>
      <c r="C800" s="140"/>
      <c r="D800" s="140"/>
      <c r="E800" s="140"/>
      <c r="F800" s="140"/>
      <c r="J800" s="140"/>
      <c r="K800" s="140"/>
      <c r="L800" s="140"/>
      <c r="M800" s="140"/>
      <c r="N800" s="140"/>
    </row>
    <row r="801" ht="15.75" customHeight="1">
      <c r="A801" s="140"/>
      <c r="B801" s="140"/>
      <c r="C801" s="140"/>
      <c r="D801" s="140"/>
      <c r="E801" s="140"/>
      <c r="F801" s="140"/>
      <c r="J801" s="140"/>
      <c r="K801" s="140"/>
      <c r="L801" s="140"/>
      <c r="M801" s="140"/>
      <c r="N801" s="140"/>
    </row>
    <row r="802" ht="15.75" customHeight="1">
      <c r="A802" s="140"/>
      <c r="B802" s="140"/>
      <c r="C802" s="140"/>
      <c r="D802" s="140"/>
      <c r="E802" s="140"/>
      <c r="F802" s="140"/>
      <c r="J802" s="140"/>
      <c r="K802" s="140"/>
      <c r="L802" s="140"/>
      <c r="M802" s="140"/>
      <c r="N802" s="140"/>
    </row>
    <row r="803" ht="15.75" customHeight="1">
      <c r="A803" s="140"/>
      <c r="B803" s="140"/>
      <c r="C803" s="140"/>
      <c r="D803" s="140"/>
      <c r="E803" s="140"/>
      <c r="F803" s="140"/>
      <c r="J803" s="140"/>
      <c r="K803" s="140"/>
      <c r="L803" s="140"/>
      <c r="M803" s="140"/>
      <c r="N803" s="140"/>
    </row>
    <row r="804" ht="15.75" customHeight="1">
      <c r="A804" s="140"/>
      <c r="B804" s="140"/>
      <c r="C804" s="140"/>
      <c r="D804" s="140"/>
      <c r="E804" s="140"/>
      <c r="F804" s="140"/>
      <c r="J804" s="140"/>
      <c r="K804" s="140"/>
      <c r="L804" s="140"/>
      <c r="M804" s="140"/>
      <c r="N804" s="140"/>
    </row>
    <row r="805" ht="15.75" customHeight="1">
      <c r="A805" s="140"/>
      <c r="B805" s="140"/>
      <c r="C805" s="140"/>
      <c r="D805" s="140"/>
      <c r="E805" s="140"/>
      <c r="F805" s="140"/>
      <c r="J805" s="140"/>
      <c r="K805" s="140"/>
      <c r="L805" s="140"/>
      <c r="M805" s="140"/>
      <c r="N805" s="140"/>
    </row>
    <row r="806" ht="15.75" customHeight="1">
      <c r="A806" s="140"/>
      <c r="B806" s="140"/>
      <c r="C806" s="140"/>
      <c r="D806" s="140"/>
      <c r="E806" s="140"/>
      <c r="F806" s="140"/>
      <c r="J806" s="140"/>
      <c r="K806" s="140"/>
      <c r="L806" s="140"/>
      <c r="M806" s="140"/>
      <c r="N806" s="140"/>
    </row>
    <row r="807" ht="15.75" customHeight="1">
      <c r="A807" s="140"/>
      <c r="B807" s="140"/>
      <c r="C807" s="140"/>
      <c r="D807" s="140"/>
      <c r="E807" s="140"/>
      <c r="F807" s="140"/>
      <c r="J807" s="140"/>
      <c r="K807" s="140"/>
      <c r="L807" s="140"/>
      <c r="M807" s="140"/>
      <c r="N807" s="140"/>
    </row>
    <row r="808" ht="15.75" customHeight="1">
      <c r="A808" s="140"/>
      <c r="B808" s="140"/>
      <c r="C808" s="140"/>
      <c r="D808" s="140"/>
      <c r="E808" s="140"/>
      <c r="F808" s="140"/>
      <c r="J808" s="140"/>
      <c r="K808" s="140"/>
      <c r="L808" s="140"/>
      <c r="M808" s="140"/>
      <c r="N808" s="140"/>
    </row>
    <row r="809" ht="15.75" customHeight="1">
      <c r="A809" s="140"/>
      <c r="B809" s="140"/>
      <c r="C809" s="140"/>
      <c r="D809" s="140"/>
      <c r="E809" s="140"/>
      <c r="F809" s="140"/>
      <c r="J809" s="140"/>
      <c r="K809" s="140"/>
      <c r="L809" s="140"/>
      <c r="M809" s="140"/>
      <c r="N809" s="140"/>
    </row>
    <row r="810" ht="15.75" customHeight="1">
      <c r="A810" s="140"/>
      <c r="B810" s="140"/>
      <c r="C810" s="140"/>
      <c r="D810" s="140"/>
      <c r="E810" s="140"/>
      <c r="F810" s="140"/>
      <c r="J810" s="140"/>
      <c r="K810" s="140"/>
      <c r="L810" s="140"/>
      <c r="M810" s="140"/>
      <c r="N810" s="140"/>
    </row>
    <row r="811" ht="15.75" customHeight="1">
      <c r="A811" s="140"/>
      <c r="B811" s="140"/>
      <c r="C811" s="140"/>
      <c r="D811" s="140"/>
      <c r="E811" s="140"/>
      <c r="F811" s="140"/>
      <c r="J811" s="140"/>
      <c r="K811" s="140"/>
      <c r="L811" s="140"/>
      <c r="M811" s="140"/>
      <c r="N811" s="140"/>
    </row>
    <row r="812" ht="15.75" customHeight="1">
      <c r="A812" s="140"/>
      <c r="B812" s="140"/>
      <c r="C812" s="140"/>
      <c r="D812" s="140"/>
      <c r="E812" s="140"/>
      <c r="F812" s="140"/>
      <c r="J812" s="140"/>
      <c r="K812" s="140"/>
      <c r="L812" s="140"/>
      <c r="M812" s="140"/>
      <c r="N812" s="140"/>
    </row>
    <row r="813" ht="15.75" customHeight="1">
      <c r="A813" s="140"/>
      <c r="B813" s="140"/>
      <c r="C813" s="140"/>
      <c r="D813" s="140"/>
      <c r="E813" s="140"/>
      <c r="F813" s="140"/>
      <c r="J813" s="140"/>
      <c r="K813" s="140"/>
      <c r="L813" s="140"/>
      <c r="M813" s="140"/>
      <c r="N813" s="140"/>
    </row>
    <row r="814" ht="15.75" customHeight="1">
      <c r="A814" s="140"/>
      <c r="B814" s="140"/>
      <c r="C814" s="140"/>
      <c r="D814" s="140"/>
      <c r="E814" s="140"/>
      <c r="F814" s="140"/>
      <c r="J814" s="140"/>
      <c r="K814" s="140"/>
      <c r="L814" s="140"/>
      <c r="M814" s="140"/>
      <c r="N814" s="140"/>
    </row>
    <row r="815" ht="15.75" customHeight="1">
      <c r="A815" s="140"/>
      <c r="B815" s="140"/>
      <c r="C815" s="140"/>
      <c r="D815" s="140"/>
      <c r="E815" s="140"/>
      <c r="F815" s="140"/>
      <c r="J815" s="140"/>
      <c r="K815" s="140"/>
      <c r="L815" s="140"/>
      <c r="M815" s="140"/>
      <c r="N815" s="140"/>
    </row>
    <row r="816" ht="15.75" customHeight="1">
      <c r="A816" s="140"/>
      <c r="B816" s="140"/>
      <c r="C816" s="140"/>
      <c r="D816" s="140"/>
      <c r="E816" s="140"/>
      <c r="F816" s="140"/>
      <c r="J816" s="140"/>
      <c r="K816" s="140"/>
      <c r="L816" s="140"/>
      <c r="M816" s="140"/>
      <c r="N816" s="140"/>
    </row>
    <row r="817" ht="15.75" customHeight="1">
      <c r="A817" s="140"/>
      <c r="B817" s="140"/>
      <c r="C817" s="140"/>
      <c r="D817" s="140"/>
      <c r="E817" s="140"/>
      <c r="F817" s="140"/>
      <c r="J817" s="140"/>
      <c r="K817" s="140"/>
      <c r="L817" s="140"/>
      <c r="M817" s="140"/>
      <c r="N817" s="140"/>
    </row>
    <row r="818" ht="15.75" customHeight="1">
      <c r="A818" s="140"/>
      <c r="B818" s="140"/>
      <c r="C818" s="140"/>
      <c r="D818" s="140"/>
      <c r="E818" s="140"/>
      <c r="F818" s="140"/>
      <c r="J818" s="140"/>
      <c r="K818" s="140"/>
      <c r="L818" s="140"/>
      <c r="M818" s="140"/>
      <c r="N818" s="140"/>
    </row>
    <row r="819" ht="15.75" customHeight="1">
      <c r="A819" s="140"/>
      <c r="B819" s="140"/>
      <c r="C819" s="140"/>
      <c r="D819" s="140"/>
      <c r="E819" s="140"/>
      <c r="F819" s="140"/>
      <c r="J819" s="140"/>
      <c r="K819" s="140"/>
      <c r="L819" s="140"/>
      <c r="M819" s="140"/>
      <c r="N819" s="140"/>
    </row>
    <row r="820" ht="15.75" customHeight="1">
      <c r="A820" s="140"/>
      <c r="B820" s="140"/>
      <c r="C820" s="140"/>
      <c r="D820" s="140"/>
      <c r="E820" s="140"/>
      <c r="F820" s="140"/>
      <c r="J820" s="140"/>
      <c r="K820" s="140"/>
      <c r="L820" s="140"/>
      <c r="M820" s="140"/>
      <c r="N820" s="140"/>
    </row>
    <row r="821" ht="15.75" customHeight="1">
      <c r="A821" s="140"/>
      <c r="B821" s="140"/>
      <c r="C821" s="140"/>
      <c r="D821" s="140"/>
      <c r="E821" s="140"/>
      <c r="F821" s="140"/>
      <c r="J821" s="140"/>
      <c r="K821" s="140"/>
      <c r="L821" s="140"/>
      <c r="M821" s="140"/>
      <c r="N821" s="140"/>
    </row>
    <row r="822" ht="15.75" customHeight="1">
      <c r="A822" s="140"/>
      <c r="B822" s="140"/>
      <c r="C822" s="140"/>
      <c r="D822" s="140"/>
      <c r="E822" s="140"/>
      <c r="F822" s="140"/>
      <c r="J822" s="140"/>
      <c r="K822" s="140"/>
      <c r="L822" s="140"/>
      <c r="M822" s="140"/>
      <c r="N822" s="140"/>
    </row>
    <row r="823" ht="15.75" customHeight="1">
      <c r="A823" s="140"/>
      <c r="B823" s="140"/>
      <c r="C823" s="140"/>
      <c r="D823" s="140"/>
      <c r="E823" s="140"/>
      <c r="F823" s="140"/>
      <c r="J823" s="140"/>
      <c r="K823" s="140"/>
      <c r="L823" s="140"/>
      <c r="M823" s="140"/>
      <c r="N823" s="140"/>
    </row>
    <row r="824" ht="15.75" customHeight="1">
      <c r="A824" s="140"/>
      <c r="B824" s="140"/>
      <c r="C824" s="140"/>
      <c r="D824" s="140"/>
      <c r="E824" s="140"/>
      <c r="F824" s="140"/>
      <c r="J824" s="140"/>
      <c r="K824" s="140"/>
      <c r="L824" s="140"/>
      <c r="M824" s="140"/>
      <c r="N824" s="140"/>
    </row>
    <row r="825" ht="15.75" customHeight="1">
      <c r="A825" s="140"/>
      <c r="B825" s="140"/>
      <c r="C825" s="140"/>
      <c r="D825" s="140"/>
      <c r="E825" s="140"/>
      <c r="F825" s="140"/>
      <c r="J825" s="140"/>
      <c r="K825" s="140"/>
      <c r="L825" s="140"/>
      <c r="M825" s="140"/>
      <c r="N825" s="140"/>
    </row>
    <row r="826" ht="15.75" customHeight="1">
      <c r="A826" s="140"/>
      <c r="B826" s="140"/>
      <c r="C826" s="140"/>
      <c r="D826" s="140"/>
      <c r="E826" s="140"/>
      <c r="F826" s="140"/>
      <c r="J826" s="140"/>
      <c r="K826" s="140"/>
      <c r="L826" s="140"/>
      <c r="M826" s="140"/>
      <c r="N826" s="140"/>
    </row>
    <row r="827" ht="15.75" customHeight="1">
      <c r="A827" s="140"/>
      <c r="B827" s="140"/>
      <c r="C827" s="140"/>
      <c r="D827" s="140"/>
      <c r="E827" s="140"/>
      <c r="F827" s="140"/>
      <c r="J827" s="140"/>
      <c r="K827" s="140"/>
      <c r="L827" s="140"/>
      <c r="M827" s="140"/>
      <c r="N827" s="140"/>
    </row>
    <row r="828" ht="15.75" customHeight="1">
      <c r="A828" s="140"/>
      <c r="B828" s="140"/>
      <c r="C828" s="140"/>
      <c r="D828" s="140"/>
      <c r="E828" s="140"/>
      <c r="F828" s="140"/>
      <c r="J828" s="140"/>
      <c r="K828" s="140"/>
      <c r="L828" s="140"/>
      <c r="M828" s="140"/>
      <c r="N828" s="140"/>
    </row>
    <row r="829" ht="15.75" customHeight="1">
      <c r="A829" s="140"/>
      <c r="B829" s="140"/>
      <c r="C829" s="140"/>
      <c r="D829" s="140"/>
      <c r="E829" s="140"/>
      <c r="F829" s="140"/>
      <c r="J829" s="140"/>
      <c r="K829" s="140"/>
      <c r="L829" s="140"/>
      <c r="M829" s="140"/>
      <c r="N829" s="140"/>
    </row>
    <row r="830" ht="15.75" customHeight="1">
      <c r="A830" s="140"/>
      <c r="B830" s="140"/>
      <c r="C830" s="140"/>
      <c r="D830" s="140"/>
      <c r="E830" s="140"/>
      <c r="F830" s="140"/>
      <c r="J830" s="140"/>
      <c r="K830" s="140"/>
      <c r="L830" s="140"/>
      <c r="M830" s="140"/>
      <c r="N830" s="140"/>
    </row>
    <row r="831" ht="15.75" customHeight="1">
      <c r="A831" s="140"/>
      <c r="B831" s="140"/>
      <c r="C831" s="140"/>
      <c r="D831" s="140"/>
      <c r="E831" s="140"/>
      <c r="F831" s="140"/>
      <c r="J831" s="140"/>
      <c r="K831" s="140"/>
      <c r="L831" s="140"/>
      <c r="M831" s="140"/>
      <c r="N831" s="140"/>
    </row>
    <row r="832" ht="15.75" customHeight="1">
      <c r="A832" s="140"/>
      <c r="B832" s="140"/>
      <c r="C832" s="140"/>
      <c r="D832" s="140"/>
      <c r="E832" s="140"/>
      <c r="F832" s="140"/>
      <c r="J832" s="140"/>
      <c r="K832" s="140"/>
      <c r="L832" s="140"/>
      <c r="M832" s="140"/>
      <c r="N832" s="140"/>
    </row>
    <row r="833" ht="15.75" customHeight="1">
      <c r="A833" s="140"/>
      <c r="B833" s="140"/>
      <c r="C833" s="140"/>
      <c r="D833" s="140"/>
      <c r="E833" s="140"/>
      <c r="F833" s="140"/>
      <c r="J833" s="140"/>
      <c r="K833" s="140"/>
      <c r="L833" s="140"/>
      <c r="M833" s="140"/>
      <c r="N833" s="140"/>
    </row>
    <row r="834" ht="15.75" customHeight="1">
      <c r="A834" s="140"/>
      <c r="B834" s="140"/>
      <c r="C834" s="140"/>
      <c r="D834" s="140"/>
      <c r="E834" s="140"/>
      <c r="F834" s="140"/>
      <c r="J834" s="140"/>
      <c r="K834" s="140"/>
      <c r="L834" s="140"/>
      <c r="M834" s="140"/>
      <c r="N834" s="140"/>
    </row>
    <row r="835" ht="15.75" customHeight="1">
      <c r="A835" s="140"/>
      <c r="B835" s="140"/>
      <c r="C835" s="140"/>
      <c r="D835" s="140"/>
      <c r="E835" s="140"/>
      <c r="F835" s="140"/>
      <c r="J835" s="140"/>
      <c r="K835" s="140"/>
      <c r="L835" s="140"/>
      <c r="M835" s="140"/>
      <c r="N835" s="140"/>
    </row>
    <row r="836" ht="15.75" customHeight="1">
      <c r="A836" s="140"/>
      <c r="B836" s="140"/>
      <c r="C836" s="140"/>
      <c r="D836" s="140"/>
      <c r="E836" s="140"/>
      <c r="F836" s="140"/>
      <c r="J836" s="140"/>
      <c r="K836" s="140"/>
      <c r="L836" s="140"/>
      <c r="M836" s="140"/>
      <c r="N836" s="140"/>
    </row>
    <row r="837" ht="15.75" customHeight="1">
      <c r="A837" s="140"/>
      <c r="B837" s="140"/>
      <c r="C837" s="140"/>
      <c r="D837" s="140"/>
      <c r="E837" s="140"/>
      <c r="F837" s="140"/>
      <c r="J837" s="140"/>
      <c r="K837" s="140"/>
      <c r="L837" s="140"/>
      <c r="M837" s="140"/>
      <c r="N837" s="140"/>
    </row>
    <row r="838" ht="15.75" customHeight="1">
      <c r="A838" s="140"/>
      <c r="B838" s="140"/>
      <c r="C838" s="140"/>
      <c r="D838" s="140"/>
      <c r="E838" s="140"/>
      <c r="F838" s="140"/>
      <c r="J838" s="140"/>
      <c r="K838" s="140"/>
      <c r="L838" s="140"/>
      <c r="M838" s="140"/>
      <c r="N838" s="140"/>
    </row>
    <row r="839" ht="15.75" customHeight="1">
      <c r="A839" s="140"/>
      <c r="B839" s="140"/>
      <c r="C839" s="140"/>
      <c r="D839" s="140"/>
      <c r="E839" s="140"/>
      <c r="F839" s="140"/>
      <c r="J839" s="140"/>
      <c r="K839" s="140"/>
      <c r="L839" s="140"/>
      <c r="M839" s="140"/>
      <c r="N839" s="140"/>
    </row>
    <row r="840" ht="15.75" customHeight="1">
      <c r="A840" s="140"/>
      <c r="B840" s="140"/>
      <c r="C840" s="140"/>
      <c r="D840" s="140"/>
      <c r="E840" s="140"/>
      <c r="F840" s="140"/>
      <c r="J840" s="140"/>
      <c r="K840" s="140"/>
      <c r="L840" s="140"/>
      <c r="M840" s="140"/>
      <c r="N840" s="140"/>
    </row>
    <row r="841" ht="15.75" customHeight="1">
      <c r="A841" s="140"/>
      <c r="B841" s="140"/>
      <c r="C841" s="140"/>
      <c r="D841" s="140"/>
      <c r="E841" s="140"/>
      <c r="F841" s="140"/>
      <c r="J841" s="140"/>
      <c r="K841" s="140"/>
      <c r="L841" s="140"/>
      <c r="M841" s="140"/>
      <c r="N841" s="140"/>
    </row>
    <row r="842" ht="15.75" customHeight="1">
      <c r="A842" s="140"/>
      <c r="B842" s="140"/>
      <c r="C842" s="140"/>
      <c r="D842" s="140"/>
      <c r="E842" s="140"/>
      <c r="F842" s="140"/>
      <c r="J842" s="140"/>
      <c r="K842" s="140"/>
      <c r="L842" s="140"/>
      <c r="M842" s="140"/>
      <c r="N842" s="140"/>
    </row>
    <row r="843" ht="15.75" customHeight="1">
      <c r="A843" s="140"/>
      <c r="B843" s="140"/>
      <c r="C843" s="140"/>
      <c r="D843" s="140"/>
      <c r="E843" s="140"/>
      <c r="F843" s="140"/>
      <c r="J843" s="140"/>
      <c r="K843" s="140"/>
      <c r="L843" s="140"/>
      <c r="M843" s="140"/>
      <c r="N843" s="140"/>
    </row>
    <row r="844" ht="15.75" customHeight="1">
      <c r="A844" s="140"/>
      <c r="B844" s="140"/>
      <c r="C844" s="140"/>
      <c r="D844" s="140"/>
      <c r="E844" s="140"/>
      <c r="F844" s="140"/>
      <c r="J844" s="140"/>
      <c r="K844" s="140"/>
      <c r="L844" s="140"/>
      <c r="M844" s="140"/>
      <c r="N844" s="140"/>
    </row>
    <row r="845" ht="15.75" customHeight="1">
      <c r="A845" s="140"/>
      <c r="B845" s="140"/>
      <c r="C845" s="140"/>
      <c r="D845" s="140"/>
      <c r="E845" s="140"/>
      <c r="F845" s="140"/>
      <c r="J845" s="140"/>
      <c r="K845" s="140"/>
      <c r="L845" s="140"/>
      <c r="M845" s="140"/>
      <c r="N845" s="140"/>
    </row>
    <row r="846" ht="15.75" customHeight="1">
      <c r="A846" s="140"/>
      <c r="B846" s="140"/>
      <c r="C846" s="140"/>
      <c r="D846" s="140"/>
      <c r="E846" s="140"/>
      <c r="F846" s="140"/>
      <c r="J846" s="140"/>
      <c r="K846" s="140"/>
      <c r="L846" s="140"/>
      <c r="M846" s="140"/>
      <c r="N846" s="140"/>
    </row>
    <row r="847" ht="15.75" customHeight="1">
      <c r="A847" s="140"/>
      <c r="B847" s="140"/>
      <c r="C847" s="140"/>
      <c r="D847" s="140"/>
      <c r="E847" s="140"/>
      <c r="F847" s="140"/>
      <c r="J847" s="140"/>
      <c r="K847" s="140"/>
      <c r="L847" s="140"/>
      <c r="M847" s="140"/>
      <c r="N847" s="140"/>
    </row>
    <row r="848" ht="15.75" customHeight="1">
      <c r="A848" s="140"/>
      <c r="B848" s="140"/>
      <c r="C848" s="140"/>
      <c r="D848" s="140"/>
      <c r="E848" s="140"/>
      <c r="F848" s="140"/>
      <c r="J848" s="140"/>
      <c r="K848" s="140"/>
      <c r="L848" s="140"/>
      <c r="M848" s="140"/>
      <c r="N848" s="140"/>
    </row>
    <row r="849" ht="15.75" customHeight="1">
      <c r="A849" s="140"/>
      <c r="B849" s="140"/>
      <c r="C849" s="140"/>
      <c r="D849" s="140"/>
      <c r="E849" s="140"/>
      <c r="F849" s="140"/>
      <c r="J849" s="140"/>
      <c r="K849" s="140"/>
      <c r="L849" s="140"/>
      <c r="M849" s="140"/>
      <c r="N849" s="140"/>
    </row>
    <row r="850" ht="15.75" customHeight="1">
      <c r="A850" s="140"/>
      <c r="B850" s="140"/>
      <c r="C850" s="140"/>
      <c r="D850" s="140"/>
      <c r="E850" s="140"/>
      <c r="F850" s="140"/>
      <c r="J850" s="140"/>
      <c r="K850" s="140"/>
      <c r="L850" s="140"/>
      <c r="M850" s="140"/>
      <c r="N850" s="140"/>
    </row>
    <row r="851" ht="15.75" customHeight="1">
      <c r="A851" s="140"/>
      <c r="B851" s="140"/>
      <c r="C851" s="140"/>
      <c r="D851" s="140"/>
      <c r="E851" s="140"/>
      <c r="F851" s="140"/>
      <c r="J851" s="140"/>
      <c r="K851" s="140"/>
      <c r="L851" s="140"/>
      <c r="M851" s="140"/>
      <c r="N851" s="140"/>
    </row>
    <row r="852" ht="15.75" customHeight="1">
      <c r="A852" s="140"/>
      <c r="B852" s="140"/>
      <c r="C852" s="140"/>
      <c r="D852" s="140"/>
      <c r="E852" s="140"/>
      <c r="F852" s="140"/>
      <c r="J852" s="140"/>
      <c r="K852" s="140"/>
      <c r="L852" s="140"/>
      <c r="M852" s="140"/>
      <c r="N852" s="140"/>
    </row>
    <row r="853" ht="15.75" customHeight="1">
      <c r="A853" s="140"/>
      <c r="B853" s="140"/>
      <c r="C853" s="140"/>
      <c r="D853" s="140"/>
      <c r="E853" s="140"/>
      <c r="F853" s="140"/>
      <c r="J853" s="140"/>
      <c r="K853" s="140"/>
      <c r="L853" s="140"/>
      <c r="M853" s="140"/>
      <c r="N853" s="140"/>
    </row>
    <row r="854" ht="15.75" customHeight="1">
      <c r="A854" s="140"/>
      <c r="B854" s="140"/>
      <c r="C854" s="140"/>
      <c r="D854" s="140"/>
      <c r="E854" s="140"/>
      <c r="F854" s="140"/>
      <c r="J854" s="140"/>
      <c r="K854" s="140"/>
      <c r="L854" s="140"/>
      <c r="M854" s="140"/>
      <c r="N854" s="140"/>
    </row>
    <row r="855" ht="15.75" customHeight="1">
      <c r="A855" s="140"/>
      <c r="B855" s="140"/>
      <c r="C855" s="140"/>
      <c r="D855" s="140"/>
      <c r="E855" s="140"/>
      <c r="F855" s="140"/>
      <c r="J855" s="140"/>
      <c r="K855" s="140"/>
      <c r="L855" s="140"/>
      <c r="M855" s="140"/>
      <c r="N855" s="140"/>
    </row>
    <row r="856" ht="15.75" customHeight="1">
      <c r="A856" s="140"/>
      <c r="B856" s="140"/>
      <c r="C856" s="140"/>
      <c r="D856" s="140"/>
      <c r="E856" s="140"/>
      <c r="F856" s="140"/>
      <c r="J856" s="140"/>
      <c r="K856" s="140"/>
      <c r="L856" s="140"/>
      <c r="M856" s="140"/>
      <c r="N856" s="140"/>
    </row>
    <row r="857" ht="15.75" customHeight="1">
      <c r="A857" s="140"/>
      <c r="B857" s="140"/>
      <c r="C857" s="140"/>
      <c r="D857" s="140"/>
      <c r="E857" s="140"/>
      <c r="F857" s="140"/>
      <c r="J857" s="140"/>
      <c r="K857" s="140"/>
      <c r="L857" s="140"/>
      <c r="M857" s="140"/>
      <c r="N857" s="140"/>
    </row>
    <row r="858" ht="15.75" customHeight="1">
      <c r="A858" s="140"/>
      <c r="B858" s="140"/>
      <c r="C858" s="140"/>
      <c r="D858" s="140"/>
      <c r="E858" s="140"/>
      <c r="F858" s="140"/>
      <c r="J858" s="140"/>
      <c r="K858" s="140"/>
      <c r="L858" s="140"/>
      <c r="M858" s="140"/>
      <c r="N858" s="140"/>
    </row>
    <row r="859" ht="15.75" customHeight="1">
      <c r="A859" s="140"/>
      <c r="B859" s="140"/>
      <c r="C859" s="140"/>
      <c r="D859" s="140"/>
      <c r="E859" s="140"/>
      <c r="F859" s="140"/>
      <c r="J859" s="140"/>
      <c r="K859" s="140"/>
      <c r="L859" s="140"/>
      <c r="M859" s="140"/>
      <c r="N859" s="140"/>
    </row>
    <row r="860" ht="15.75" customHeight="1">
      <c r="A860" s="140"/>
      <c r="B860" s="140"/>
      <c r="C860" s="140"/>
      <c r="D860" s="140"/>
      <c r="E860" s="140"/>
      <c r="F860" s="140"/>
      <c r="J860" s="140"/>
      <c r="K860" s="140"/>
      <c r="L860" s="140"/>
      <c r="M860" s="140"/>
      <c r="N860" s="140"/>
    </row>
    <row r="861" ht="15.75" customHeight="1">
      <c r="A861" s="140"/>
      <c r="B861" s="140"/>
      <c r="C861" s="140"/>
      <c r="D861" s="140"/>
      <c r="E861" s="140"/>
      <c r="F861" s="140"/>
      <c r="J861" s="140"/>
      <c r="K861" s="140"/>
      <c r="L861" s="140"/>
      <c r="M861" s="140"/>
      <c r="N861" s="140"/>
    </row>
    <row r="862" ht="15.75" customHeight="1">
      <c r="A862" s="140"/>
      <c r="B862" s="140"/>
      <c r="C862" s="140"/>
      <c r="D862" s="140"/>
      <c r="E862" s="140"/>
      <c r="F862" s="140"/>
      <c r="J862" s="140"/>
      <c r="K862" s="140"/>
      <c r="L862" s="140"/>
      <c r="M862" s="140"/>
      <c r="N862" s="140"/>
    </row>
    <row r="863" ht="15.75" customHeight="1">
      <c r="A863" s="140"/>
      <c r="B863" s="140"/>
      <c r="C863" s="140"/>
      <c r="D863" s="140"/>
      <c r="E863" s="140"/>
      <c r="F863" s="140"/>
      <c r="J863" s="140"/>
      <c r="K863" s="140"/>
      <c r="L863" s="140"/>
      <c r="M863" s="140"/>
      <c r="N863" s="140"/>
    </row>
    <row r="864" ht="15.75" customHeight="1">
      <c r="A864" s="140"/>
      <c r="B864" s="140"/>
      <c r="C864" s="140"/>
      <c r="D864" s="140"/>
      <c r="E864" s="140"/>
      <c r="F864" s="140"/>
      <c r="J864" s="140"/>
      <c r="K864" s="140"/>
      <c r="L864" s="140"/>
      <c r="M864" s="140"/>
      <c r="N864" s="140"/>
    </row>
    <row r="865" ht="15.75" customHeight="1">
      <c r="A865" s="140"/>
      <c r="B865" s="140"/>
      <c r="C865" s="140"/>
      <c r="D865" s="140"/>
      <c r="E865" s="140"/>
      <c r="F865" s="140"/>
      <c r="J865" s="140"/>
      <c r="K865" s="140"/>
      <c r="L865" s="140"/>
      <c r="M865" s="140"/>
      <c r="N865" s="140"/>
    </row>
    <row r="866" ht="15.75" customHeight="1">
      <c r="A866" s="140"/>
      <c r="B866" s="140"/>
      <c r="C866" s="140"/>
      <c r="D866" s="140"/>
      <c r="E866" s="140"/>
      <c r="F866" s="140"/>
      <c r="J866" s="140"/>
      <c r="K866" s="140"/>
      <c r="L866" s="140"/>
      <c r="M866" s="140"/>
      <c r="N866" s="140"/>
    </row>
    <row r="867" ht="15.75" customHeight="1">
      <c r="A867" s="140"/>
      <c r="B867" s="140"/>
      <c r="C867" s="140"/>
      <c r="D867" s="140"/>
      <c r="E867" s="140"/>
      <c r="F867" s="140"/>
      <c r="J867" s="140"/>
      <c r="K867" s="140"/>
      <c r="L867" s="140"/>
      <c r="M867" s="140"/>
      <c r="N867" s="140"/>
    </row>
    <row r="868" ht="15.75" customHeight="1">
      <c r="A868" s="140"/>
      <c r="B868" s="140"/>
      <c r="C868" s="140"/>
      <c r="D868" s="140"/>
      <c r="E868" s="140"/>
      <c r="F868" s="140"/>
      <c r="J868" s="140"/>
      <c r="K868" s="140"/>
      <c r="L868" s="140"/>
      <c r="M868" s="140"/>
      <c r="N868" s="140"/>
    </row>
    <row r="869" ht="15.75" customHeight="1">
      <c r="A869" s="140"/>
      <c r="B869" s="140"/>
      <c r="C869" s="140"/>
      <c r="D869" s="140"/>
      <c r="E869" s="140"/>
      <c r="F869" s="140"/>
      <c r="J869" s="140"/>
      <c r="K869" s="140"/>
      <c r="L869" s="140"/>
      <c r="M869" s="140"/>
      <c r="N869" s="140"/>
    </row>
    <row r="870" ht="15.75" customHeight="1">
      <c r="A870" s="140"/>
      <c r="B870" s="140"/>
      <c r="C870" s="140"/>
      <c r="D870" s="140"/>
      <c r="E870" s="140"/>
      <c r="F870" s="140"/>
      <c r="J870" s="140"/>
      <c r="K870" s="140"/>
      <c r="L870" s="140"/>
      <c r="M870" s="140"/>
      <c r="N870" s="140"/>
    </row>
    <row r="871" ht="15.75" customHeight="1">
      <c r="A871" s="140"/>
      <c r="B871" s="140"/>
      <c r="C871" s="140"/>
      <c r="D871" s="140"/>
      <c r="E871" s="140"/>
      <c r="F871" s="140"/>
      <c r="J871" s="140"/>
      <c r="K871" s="140"/>
      <c r="L871" s="140"/>
      <c r="M871" s="140"/>
      <c r="N871" s="140"/>
    </row>
    <row r="872" ht="15.75" customHeight="1">
      <c r="A872" s="140"/>
      <c r="B872" s="140"/>
      <c r="C872" s="140"/>
      <c r="D872" s="140"/>
      <c r="E872" s="140"/>
      <c r="F872" s="140"/>
      <c r="J872" s="140"/>
      <c r="K872" s="140"/>
      <c r="L872" s="140"/>
      <c r="M872" s="140"/>
      <c r="N872" s="140"/>
    </row>
    <row r="873" ht="15.75" customHeight="1">
      <c r="A873" s="140"/>
      <c r="B873" s="140"/>
      <c r="C873" s="140"/>
      <c r="D873" s="140"/>
      <c r="E873" s="140"/>
      <c r="F873" s="140"/>
      <c r="J873" s="140"/>
      <c r="K873" s="140"/>
      <c r="L873" s="140"/>
      <c r="M873" s="140"/>
      <c r="N873" s="140"/>
    </row>
    <row r="874" ht="15.75" customHeight="1">
      <c r="A874" s="140"/>
      <c r="B874" s="140"/>
      <c r="C874" s="140"/>
      <c r="D874" s="140"/>
      <c r="E874" s="140"/>
      <c r="F874" s="140"/>
      <c r="J874" s="140"/>
      <c r="K874" s="140"/>
      <c r="L874" s="140"/>
      <c r="M874" s="140"/>
      <c r="N874" s="140"/>
    </row>
    <row r="875" ht="15.75" customHeight="1">
      <c r="A875" s="140"/>
      <c r="B875" s="140"/>
      <c r="C875" s="140"/>
      <c r="D875" s="140"/>
      <c r="E875" s="140"/>
      <c r="F875" s="140"/>
      <c r="J875" s="140"/>
      <c r="K875" s="140"/>
      <c r="L875" s="140"/>
      <c r="M875" s="140"/>
      <c r="N875" s="140"/>
    </row>
    <row r="876" ht="15.75" customHeight="1">
      <c r="A876" s="140"/>
      <c r="B876" s="140"/>
      <c r="C876" s="140"/>
      <c r="D876" s="140"/>
      <c r="E876" s="140"/>
      <c r="F876" s="140"/>
      <c r="J876" s="140"/>
      <c r="K876" s="140"/>
      <c r="L876" s="140"/>
      <c r="M876" s="140"/>
      <c r="N876" s="140"/>
    </row>
    <row r="877" ht="15.75" customHeight="1">
      <c r="A877" s="140"/>
      <c r="B877" s="140"/>
      <c r="C877" s="140"/>
      <c r="D877" s="140"/>
      <c r="E877" s="140"/>
      <c r="F877" s="140"/>
      <c r="J877" s="140"/>
      <c r="K877" s="140"/>
      <c r="L877" s="140"/>
      <c r="M877" s="140"/>
      <c r="N877" s="140"/>
    </row>
    <row r="878" ht="15.75" customHeight="1">
      <c r="A878" s="140"/>
      <c r="B878" s="140"/>
      <c r="C878" s="140"/>
      <c r="D878" s="140"/>
      <c r="E878" s="140"/>
      <c r="F878" s="140"/>
      <c r="J878" s="140"/>
      <c r="K878" s="140"/>
      <c r="L878" s="140"/>
      <c r="M878" s="140"/>
      <c r="N878" s="140"/>
    </row>
    <row r="879" ht="15.75" customHeight="1">
      <c r="A879" s="140"/>
      <c r="B879" s="140"/>
      <c r="C879" s="140"/>
      <c r="D879" s="140"/>
      <c r="E879" s="140"/>
      <c r="F879" s="140"/>
      <c r="J879" s="140"/>
      <c r="K879" s="140"/>
      <c r="L879" s="140"/>
      <c r="M879" s="140"/>
      <c r="N879" s="140"/>
    </row>
    <row r="880" ht="15.75" customHeight="1">
      <c r="A880" s="140"/>
      <c r="B880" s="140"/>
      <c r="C880" s="140"/>
      <c r="D880" s="140"/>
      <c r="E880" s="140"/>
      <c r="F880" s="140"/>
      <c r="J880" s="140"/>
      <c r="K880" s="140"/>
      <c r="L880" s="140"/>
      <c r="M880" s="140"/>
      <c r="N880" s="140"/>
    </row>
    <row r="881" ht="15.75" customHeight="1">
      <c r="A881" s="140"/>
      <c r="B881" s="140"/>
      <c r="C881" s="140"/>
      <c r="D881" s="140"/>
      <c r="E881" s="140"/>
      <c r="F881" s="140"/>
      <c r="J881" s="140"/>
      <c r="K881" s="140"/>
      <c r="L881" s="140"/>
      <c r="M881" s="140"/>
      <c r="N881" s="140"/>
    </row>
    <row r="882" ht="15.75" customHeight="1">
      <c r="A882" s="140"/>
      <c r="B882" s="140"/>
      <c r="C882" s="140"/>
      <c r="D882" s="140"/>
      <c r="E882" s="140"/>
      <c r="F882" s="140"/>
      <c r="J882" s="140"/>
      <c r="K882" s="140"/>
      <c r="L882" s="140"/>
      <c r="M882" s="140"/>
      <c r="N882" s="140"/>
    </row>
    <row r="883" ht="15.75" customHeight="1">
      <c r="A883" s="140"/>
      <c r="B883" s="140"/>
      <c r="C883" s="140"/>
      <c r="D883" s="140"/>
      <c r="E883" s="140"/>
      <c r="F883" s="140"/>
      <c r="J883" s="140"/>
      <c r="K883" s="140"/>
      <c r="L883" s="140"/>
      <c r="M883" s="140"/>
      <c r="N883" s="140"/>
    </row>
    <row r="884" ht="15.75" customHeight="1">
      <c r="A884" s="140"/>
      <c r="B884" s="140"/>
      <c r="C884" s="140"/>
      <c r="D884" s="140"/>
      <c r="E884" s="140"/>
      <c r="F884" s="140"/>
      <c r="J884" s="140"/>
      <c r="K884" s="140"/>
      <c r="L884" s="140"/>
      <c r="M884" s="140"/>
      <c r="N884" s="140"/>
    </row>
    <row r="885" ht="15.75" customHeight="1">
      <c r="A885" s="140"/>
      <c r="B885" s="140"/>
      <c r="C885" s="140"/>
      <c r="D885" s="140"/>
      <c r="E885" s="140"/>
      <c r="F885" s="140"/>
      <c r="J885" s="140"/>
      <c r="K885" s="140"/>
      <c r="L885" s="140"/>
      <c r="M885" s="140"/>
      <c r="N885" s="140"/>
    </row>
    <row r="886" ht="15.75" customHeight="1">
      <c r="A886" s="140"/>
      <c r="B886" s="140"/>
      <c r="C886" s="140"/>
      <c r="D886" s="140"/>
      <c r="E886" s="140"/>
      <c r="F886" s="140"/>
      <c r="J886" s="140"/>
      <c r="K886" s="140"/>
      <c r="L886" s="140"/>
      <c r="M886" s="140"/>
      <c r="N886" s="140"/>
    </row>
    <row r="887" ht="15.75" customHeight="1">
      <c r="A887" s="140"/>
      <c r="B887" s="140"/>
      <c r="C887" s="140"/>
      <c r="D887" s="140"/>
      <c r="E887" s="140"/>
      <c r="F887" s="140"/>
      <c r="J887" s="140"/>
      <c r="K887" s="140"/>
      <c r="L887" s="140"/>
      <c r="M887" s="140"/>
      <c r="N887" s="140"/>
    </row>
    <row r="888" ht="15.75" customHeight="1">
      <c r="A888" s="140"/>
      <c r="B888" s="140"/>
      <c r="C888" s="140"/>
      <c r="D888" s="140"/>
      <c r="E888" s="140"/>
      <c r="F888" s="140"/>
      <c r="J888" s="140"/>
      <c r="K888" s="140"/>
      <c r="L888" s="140"/>
      <c r="M888" s="140"/>
      <c r="N888" s="140"/>
    </row>
    <row r="889" ht="15.75" customHeight="1">
      <c r="A889" s="140"/>
      <c r="B889" s="140"/>
      <c r="C889" s="140"/>
      <c r="D889" s="140"/>
      <c r="E889" s="140"/>
      <c r="F889" s="140"/>
      <c r="J889" s="140"/>
      <c r="K889" s="140"/>
      <c r="L889" s="140"/>
      <c r="M889" s="140"/>
      <c r="N889" s="140"/>
    </row>
    <row r="890" ht="15.75" customHeight="1">
      <c r="A890" s="140"/>
      <c r="B890" s="140"/>
      <c r="C890" s="140"/>
      <c r="D890" s="140"/>
      <c r="E890" s="140"/>
      <c r="F890" s="140"/>
      <c r="J890" s="140"/>
      <c r="K890" s="140"/>
      <c r="L890" s="140"/>
      <c r="M890" s="140"/>
      <c r="N890" s="140"/>
    </row>
    <row r="891" ht="15.75" customHeight="1">
      <c r="A891" s="140"/>
      <c r="B891" s="140"/>
      <c r="C891" s="140"/>
      <c r="D891" s="140"/>
      <c r="E891" s="140"/>
      <c r="F891" s="140"/>
      <c r="J891" s="140"/>
      <c r="K891" s="140"/>
      <c r="L891" s="140"/>
      <c r="M891" s="140"/>
      <c r="N891" s="140"/>
    </row>
    <row r="892" ht="15.75" customHeight="1">
      <c r="A892" s="140"/>
      <c r="B892" s="140"/>
      <c r="C892" s="140"/>
      <c r="D892" s="140"/>
      <c r="E892" s="140"/>
      <c r="F892" s="140"/>
      <c r="J892" s="140"/>
      <c r="K892" s="140"/>
      <c r="L892" s="140"/>
      <c r="M892" s="140"/>
      <c r="N892" s="140"/>
    </row>
    <row r="893" ht="15.75" customHeight="1">
      <c r="A893" s="140"/>
      <c r="B893" s="140"/>
      <c r="C893" s="140"/>
      <c r="D893" s="140"/>
      <c r="E893" s="140"/>
      <c r="F893" s="140"/>
      <c r="J893" s="140"/>
      <c r="K893" s="140"/>
      <c r="L893" s="140"/>
      <c r="M893" s="140"/>
      <c r="N893" s="140"/>
    </row>
    <row r="894" ht="15.75" customHeight="1">
      <c r="A894" s="140"/>
      <c r="B894" s="140"/>
      <c r="C894" s="140"/>
      <c r="D894" s="140"/>
      <c r="E894" s="140"/>
      <c r="F894" s="140"/>
      <c r="J894" s="140"/>
      <c r="K894" s="140"/>
      <c r="L894" s="140"/>
      <c r="M894" s="140"/>
      <c r="N894" s="140"/>
    </row>
    <row r="895" ht="15.75" customHeight="1">
      <c r="A895" s="140"/>
      <c r="B895" s="140"/>
      <c r="C895" s="140"/>
      <c r="D895" s="140"/>
      <c r="E895" s="140"/>
      <c r="F895" s="140"/>
      <c r="J895" s="140"/>
      <c r="K895" s="140"/>
      <c r="L895" s="140"/>
      <c r="M895" s="140"/>
      <c r="N895" s="140"/>
    </row>
    <row r="896" ht="15.75" customHeight="1">
      <c r="A896" s="140"/>
      <c r="B896" s="140"/>
      <c r="C896" s="140"/>
      <c r="D896" s="140"/>
      <c r="E896" s="140"/>
      <c r="F896" s="140"/>
      <c r="J896" s="140"/>
      <c r="K896" s="140"/>
      <c r="L896" s="140"/>
      <c r="M896" s="140"/>
      <c r="N896" s="140"/>
    </row>
    <row r="897" ht="15.75" customHeight="1">
      <c r="A897" s="140"/>
      <c r="B897" s="140"/>
      <c r="C897" s="140"/>
      <c r="D897" s="140"/>
      <c r="E897" s="140"/>
      <c r="F897" s="140"/>
      <c r="J897" s="140"/>
      <c r="K897" s="140"/>
      <c r="L897" s="140"/>
      <c r="M897" s="140"/>
      <c r="N897" s="140"/>
    </row>
    <row r="898" ht="15.75" customHeight="1">
      <c r="A898" s="140"/>
      <c r="B898" s="140"/>
      <c r="C898" s="140"/>
      <c r="D898" s="140"/>
      <c r="E898" s="140"/>
      <c r="F898" s="140"/>
      <c r="J898" s="140"/>
      <c r="K898" s="140"/>
      <c r="L898" s="140"/>
      <c r="M898" s="140"/>
      <c r="N898" s="140"/>
    </row>
    <row r="899" ht="15.75" customHeight="1">
      <c r="A899" s="140"/>
      <c r="B899" s="140"/>
      <c r="C899" s="140"/>
      <c r="D899" s="140"/>
      <c r="E899" s="140"/>
      <c r="F899" s="140"/>
      <c r="J899" s="140"/>
      <c r="K899" s="140"/>
      <c r="L899" s="140"/>
      <c r="M899" s="140"/>
      <c r="N899" s="140"/>
    </row>
    <row r="900" ht="15.75" customHeight="1">
      <c r="A900" s="140"/>
      <c r="B900" s="140"/>
      <c r="C900" s="140"/>
      <c r="D900" s="140"/>
      <c r="E900" s="140"/>
      <c r="F900" s="140"/>
      <c r="J900" s="140"/>
      <c r="K900" s="140"/>
      <c r="L900" s="140"/>
      <c r="M900" s="140"/>
      <c r="N900" s="140"/>
    </row>
    <row r="901" ht="15.75" customHeight="1">
      <c r="A901" s="140"/>
      <c r="B901" s="140"/>
      <c r="C901" s="140"/>
      <c r="D901" s="140"/>
      <c r="E901" s="140"/>
      <c r="F901" s="140"/>
      <c r="J901" s="140"/>
      <c r="K901" s="140"/>
      <c r="L901" s="140"/>
      <c r="M901" s="140"/>
      <c r="N901" s="140"/>
    </row>
    <row r="902" ht="15.75" customHeight="1">
      <c r="A902" s="140"/>
      <c r="B902" s="140"/>
      <c r="C902" s="140"/>
      <c r="D902" s="140"/>
      <c r="E902" s="140"/>
      <c r="F902" s="140"/>
      <c r="J902" s="140"/>
      <c r="K902" s="140"/>
      <c r="L902" s="140"/>
      <c r="M902" s="140"/>
      <c r="N902" s="140"/>
    </row>
    <row r="903" ht="15.75" customHeight="1">
      <c r="A903" s="140"/>
      <c r="B903" s="140"/>
      <c r="C903" s="140"/>
      <c r="D903" s="140"/>
      <c r="E903" s="140"/>
      <c r="F903" s="140"/>
      <c r="J903" s="140"/>
      <c r="K903" s="140"/>
      <c r="L903" s="140"/>
      <c r="M903" s="140"/>
      <c r="N903" s="140"/>
    </row>
    <row r="904" ht="15.75" customHeight="1">
      <c r="A904" s="140"/>
      <c r="B904" s="140"/>
      <c r="C904" s="140"/>
      <c r="D904" s="140"/>
      <c r="E904" s="140"/>
      <c r="F904" s="140"/>
      <c r="J904" s="140"/>
      <c r="K904" s="140"/>
      <c r="L904" s="140"/>
      <c r="M904" s="140"/>
      <c r="N904" s="140"/>
    </row>
    <row r="905" ht="15.75" customHeight="1">
      <c r="A905" s="140"/>
      <c r="B905" s="140"/>
      <c r="C905" s="140"/>
      <c r="D905" s="140"/>
      <c r="E905" s="140"/>
      <c r="F905" s="140"/>
      <c r="J905" s="140"/>
      <c r="K905" s="140"/>
      <c r="L905" s="140"/>
      <c r="M905" s="140"/>
      <c r="N905" s="140"/>
    </row>
    <row r="906" ht="15.75" customHeight="1">
      <c r="A906" s="140"/>
      <c r="B906" s="140"/>
      <c r="C906" s="140"/>
      <c r="D906" s="140"/>
      <c r="E906" s="140"/>
      <c r="F906" s="140"/>
      <c r="J906" s="140"/>
      <c r="K906" s="140"/>
      <c r="L906" s="140"/>
      <c r="M906" s="140"/>
      <c r="N906" s="140"/>
    </row>
    <row r="907" ht="15.75" customHeight="1">
      <c r="A907" s="140"/>
      <c r="B907" s="140"/>
      <c r="C907" s="140"/>
      <c r="D907" s="140"/>
      <c r="E907" s="140"/>
      <c r="F907" s="140"/>
      <c r="J907" s="140"/>
      <c r="K907" s="140"/>
      <c r="L907" s="140"/>
      <c r="M907" s="140"/>
      <c r="N907" s="140"/>
    </row>
    <row r="908" ht="15.75" customHeight="1">
      <c r="A908" s="140"/>
      <c r="B908" s="140"/>
      <c r="C908" s="140"/>
      <c r="D908" s="140"/>
      <c r="E908" s="140"/>
      <c r="F908" s="140"/>
      <c r="J908" s="140"/>
      <c r="K908" s="140"/>
      <c r="L908" s="140"/>
      <c r="M908" s="140"/>
      <c r="N908" s="140"/>
    </row>
    <row r="909" ht="15.75" customHeight="1">
      <c r="A909" s="140"/>
      <c r="B909" s="140"/>
      <c r="C909" s="140"/>
      <c r="D909" s="140"/>
      <c r="E909" s="140"/>
      <c r="F909" s="140"/>
      <c r="J909" s="140"/>
      <c r="K909" s="140"/>
      <c r="L909" s="140"/>
      <c r="M909" s="140"/>
      <c r="N909" s="140"/>
    </row>
    <row r="910" ht="15.75" customHeight="1">
      <c r="A910" s="140"/>
      <c r="B910" s="140"/>
      <c r="C910" s="140"/>
      <c r="D910" s="140"/>
      <c r="E910" s="140"/>
      <c r="F910" s="140"/>
      <c r="J910" s="140"/>
      <c r="K910" s="140"/>
      <c r="L910" s="140"/>
      <c r="M910" s="140"/>
      <c r="N910" s="140"/>
    </row>
    <row r="911" ht="15.75" customHeight="1">
      <c r="A911" s="140"/>
      <c r="B911" s="140"/>
      <c r="C911" s="140"/>
      <c r="D911" s="140"/>
      <c r="E911" s="140"/>
      <c r="F911" s="140"/>
      <c r="J911" s="140"/>
      <c r="K911" s="140"/>
      <c r="L911" s="140"/>
      <c r="M911" s="140"/>
      <c r="N911" s="140"/>
    </row>
    <row r="912" ht="15.75" customHeight="1">
      <c r="A912" s="140"/>
      <c r="B912" s="140"/>
      <c r="C912" s="140"/>
      <c r="D912" s="140"/>
      <c r="E912" s="140"/>
      <c r="F912" s="140"/>
      <c r="J912" s="140"/>
      <c r="K912" s="140"/>
      <c r="L912" s="140"/>
      <c r="M912" s="140"/>
      <c r="N912" s="140"/>
    </row>
    <row r="913" ht="15.75" customHeight="1">
      <c r="A913" s="140"/>
      <c r="B913" s="140"/>
      <c r="C913" s="140"/>
      <c r="D913" s="140"/>
      <c r="E913" s="140"/>
      <c r="F913" s="140"/>
      <c r="J913" s="140"/>
      <c r="K913" s="140"/>
      <c r="L913" s="140"/>
      <c r="M913" s="140"/>
      <c r="N913" s="140"/>
    </row>
    <row r="914" ht="15.75" customHeight="1">
      <c r="A914" s="140"/>
      <c r="B914" s="140"/>
      <c r="C914" s="140"/>
      <c r="D914" s="140"/>
      <c r="E914" s="140"/>
      <c r="F914" s="140"/>
      <c r="J914" s="140"/>
      <c r="K914" s="140"/>
      <c r="L914" s="140"/>
      <c r="M914" s="140"/>
      <c r="N914" s="140"/>
    </row>
    <row r="915" ht="15.75" customHeight="1">
      <c r="A915" s="140"/>
      <c r="B915" s="140"/>
      <c r="C915" s="140"/>
      <c r="D915" s="140"/>
      <c r="E915" s="140"/>
      <c r="F915" s="140"/>
      <c r="J915" s="140"/>
      <c r="K915" s="140"/>
      <c r="L915" s="140"/>
      <c r="M915" s="140"/>
      <c r="N915" s="140"/>
    </row>
    <row r="916" ht="15.75" customHeight="1">
      <c r="A916" s="140"/>
      <c r="B916" s="140"/>
      <c r="C916" s="140"/>
      <c r="D916" s="140"/>
      <c r="E916" s="140"/>
      <c r="F916" s="140"/>
      <c r="J916" s="140"/>
      <c r="K916" s="140"/>
      <c r="L916" s="140"/>
      <c r="M916" s="140"/>
      <c r="N916" s="140"/>
    </row>
    <row r="917" ht="15.75" customHeight="1">
      <c r="A917" s="140"/>
      <c r="B917" s="140"/>
      <c r="C917" s="140"/>
      <c r="D917" s="140"/>
      <c r="E917" s="140"/>
      <c r="F917" s="140"/>
      <c r="J917" s="140"/>
      <c r="K917" s="140"/>
      <c r="L917" s="140"/>
      <c r="M917" s="140"/>
      <c r="N917" s="140"/>
    </row>
    <row r="918" ht="15.75" customHeight="1">
      <c r="A918" s="140"/>
      <c r="B918" s="140"/>
      <c r="C918" s="140"/>
      <c r="D918" s="140"/>
      <c r="E918" s="140"/>
      <c r="F918" s="140"/>
      <c r="J918" s="140"/>
      <c r="K918" s="140"/>
      <c r="L918" s="140"/>
      <c r="M918" s="140"/>
      <c r="N918" s="140"/>
    </row>
    <row r="919" ht="15.75" customHeight="1">
      <c r="A919" s="140"/>
      <c r="B919" s="140"/>
      <c r="C919" s="140"/>
      <c r="D919" s="140"/>
      <c r="E919" s="140"/>
      <c r="F919" s="140"/>
      <c r="J919" s="140"/>
      <c r="K919" s="140"/>
      <c r="L919" s="140"/>
      <c r="M919" s="140"/>
      <c r="N919" s="140"/>
    </row>
    <row r="920" ht="15.75" customHeight="1">
      <c r="A920" s="140"/>
      <c r="B920" s="140"/>
      <c r="C920" s="140"/>
      <c r="D920" s="140"/>
      <c r="E920" s="140"/>
      <c r="F920" s="140"/>
      <c r="J920" s="140"/>
      <c r="K920" s="140"/>
      <c r="L920" s="140"/>
      <c r="M920" s="140"/>
      <c r="N920" s="140"/>
    </row>
    <row r="921" ht="15.75" customHeight="1">
      <c r="A921" s="140"/>
      <c r="B921" s="140"/>
      <c r="C921" s="140"/>
      <c r="D921" s="140"/>
      <c r="E921" s="140"/>
      <c r="F921" s="140"/>
      <c r="J921" s="140"/>
      <c r="K921" s="140"/>
      <c r="L921" s="140"/>
      <c r="M921" s="140"/>
      <c r="N921" s="140"/>
    </row>
    <row r="922" ht="15.75" customHeight="1">
      <c r="A922" s="140"/>
      <c r="B922" s="140"/>
      <c r="C922" s="140"/>
      <c r="D922" s="140"/>
      <c r="E922" s="140"/>
      <c r="F922" s="140"/>
      <c r="J922" s="140"/>
      <c r="K922" s="140"/>
      <c r="L922" s="140"/>
      <c r="M922" s="140"/>
      <c r="N922" s="140"/>
    </row>
    <row r="923" ht="15.75" customHeight="1">
      <c r="A923" s="140"/>
      <c r="B923" s="140"/>
      <c r="C923" s="140"/>
      <c r="D923" s="140"/>
      <c r="E923" s="140"/>
      <c r="F923" s="140"/>
      <c r="J923" s="140"/>
      <c r="K923" s="140"/>
      <c r="L923" s="140"/>
      <c r="M923" s="140"/>
      <c r="N923" s="140"/>
    </row>
    <row r="924" ht="15.75" customHeight="1">
      <c r="A924" s="140"/>
      <c r="B924" s="140"/>
      <c r="C924" s="140"/>
      <c r="D924" s="140"/>
      <c r="E924" s="140"/>
      <c r="F924" s="140"/>
      <c r="J924" s="140"/>
      <c r="K924" s="140"/>
      <c r="L924" s="140"/>
      <c r="M924" s="140"/>
      <c r="N924" s="140"/>
    </row>
    <row r="925" ht="15.75" customHeight="1">
      <c r="A925" s="140"/>
      <c r="B925" s="140"/>
      <c r="C925" s="140"/>
      <c r="D925" s="140"/>
      <c r="E925" s="140"/>
      <c r="F925" s="140"/>
      <c r="J925" s="140"/>
      <c r="K925" s="140"/>
      <c r="L925" s="140"/>
      <c r="M925" s="140"/>
      <c r="N925" s="140"/>
    </row>
    <row r="926" ht="15.75" customHeight="1">
      <c r="A926" s="140"/>
      <c r="B926" s="140"/>
      <c r="C926" s="140"/>
      <c r="D926" s="140"/>
      <c r="E926" s="140"/>
      <c r="F926" s="140"/>
      <c r="J926" s="140"/>
      <c r="K926" s="140"/>
      <c r="L926" s="140"/>
      <c r="M926" s="140"/>
      <c r="N926" s="140"/>
    </row>
    <row r="927" ht="15.75" customHeight="1">
      <c r="A927" s="140"/>
      <c r="B927" s="140"/>
      <c r="C927" s="140"/>
      <c r="D927" s="140"/>
      <c r="E927" s="140"/>
      <c r="F927" s="140"/>
      <c r="J927" s="140"/>
      <c r="K927" s="140"/>
      <c r="L927" s="140"/>
      <c r="M927" s="140"/>
      <c r="N927" s="140"/>
    </row>
    <row r="928" ht="15.75" customHeight="1">
      <c r="A928" s="140"/>
      <c r="B928" s="140"/>
      <c r="C928" s="140"/>
      <c r="D928" s="140"/>
      <c r="E928" s="140"/>
      <c r="F928" s="140"/>
      <c r="J928" s="140"/>
      <c r="K928" s="140"/>
      <c r="L928" s="140"/>
      <c r="M928" s="140"/>
      <c r="N928" s="140"/>
    </row>
    <row r="929" ht="15.75" customHeight="1">
      <c r="A929" s="140"/>
      <c r="B929" s="140"/>
      <c r="C929" s="140"/>
      <c r="D929" s="140"/>
      <c r="E929" s="140"/>
      <c r="F929" s="140"/>
      <c r="J929" s="140"/>
      <c r="K929" s="140"/>
      <c r="L929" s="140"/>
      <c r="M929" s="140"/>
      <c r="N929" s="140"/>
    </row>
    <row r="930" ht="15.75" customHeight="1">
      <c r="A930" s="140"/>
      <c r="B930" s="140"/>
      <c r="C930" s="140"/>
      <c r="D930" s="140"/>
      <c r="E930" s="140"/>
      <c r="F930" s="140"/>
      <c r="J930" s="140"/>
      <c r="K930" s="140"/>
      <c r="L930" s="140"/>
      <c r="M930" s="140"/>
      <c r="N930" s="140"/>
    </row>
    <row r="931" ht="15.75" customHeight="1">
      <c r="A931" s="140"/>
      <c r="B931" s="140"/>
      <c r="C931" s="140"/>
      <c r="D931" s="140"/>
      <c r="E931" s="140"/>
      <c r="F931" s="140"/>
      <c r="J931" s="140"/>
      <c r="K931" s="140"/>
      <c r="L931" s="140"/>
      <c r="M931" s="140"/>
      <c r="N931" s="140"/>
    </row>
    <row r="932" ht="15.75" customHeight="1">
      <c r="A932" s="140"/>
      <c r="B932" s="140"/>
      <c r="C932" s="140"/>
      <c r="D932" s="140"/>
      <c r="E932" s="140"/>
      <c r="F932" s="140"/>
      <c r="J932" s="140"/>
      <c r="K932" s="140"/>
      <c r="L932" s="140"/>
      <c r="M932" s="140"/>
      <c r="N932" s="140"/>
    </row>
    <row r="933" ht="15.75" customHeight="1">
      <c r="A933" s="140"/>
      <c r="B933" s="140"/>
      <c r="C933" s="140"/>
      <c r="D933" s="140"/>
      <c r="E933" s="140"/>
      <c r="F933" s="140"/>
      <c r="J933" s="140"/>
      <c r="K933" s="140"/>
      <c r="L933" s="140"/>
      <c r="M933" s="140"/>
      <c r="N933" s="140"/>
    </row>
    <row r="934" ht="15.75" customHeight="1">
      <c r="A934" s="140"/>
      <c r="B934" s="140"/>
      <c r="C934" s="140"/>
      <c r="D934" s="140"/>
      <c r="E934" s="140"/>
      <c r="F934" s="140"/>
      <c r="J934" s="140"/>
      <c r="K934" s="140"/>
      <c r="L934" s="140"/>
      <c r="M934" s="140"/>
      <c r="N934" s="140"/>
    </row>
    <row r="935" ht="15.75" customHeight="1">
      <c r="A935" s="140"/>
      <c r="B935" s="140"/>
      <c r="C935" s="140"/>
      <c r="D935" s="140"/>
      <c r="E935" s="140"/>
      <c r="F935" s="140"/>
      <c r="J935" s="140"/>
      <c r="K935" s="140"/>
      <c r="L935" s="140"/>
      <c r="M935" s="140"/>
      <c r="N935" s="140"/>
    </row>
    <row r="936" ht="15.75" customHeight="1">
      <c r="A936" s="140"/>
      <c r="B936" s="140"/>
      <c r="C936" s="140"/>
      <c r="D936" s="140"/>
      <c r="E936" s="140"/>
      <c r="F936" s="140"/>
      <c r="J936" s="140"/>
      <c r="K936" s="140"/>
      <c r="L936" s="140"/>
      <c r="M936" s="140"/>
      <c r="N936" s="140"/>
    </row>
    <row r="937" ht="15.75" customHeight="1">
      <c r="A937" s="140"/>
      <c r="B937" s="140"/>
      <c r="C937" s="140"/>
      <c r="D937" s="140"/>
      <c r="E937" s="140"/>
      <c r="F937" s="140"/>
      <c r="J937" s="140"/>
      <c r="K937" s="140"/>
      <c r="L937" s="140"/>
      <c r="M937" s="140"/>
      <c r="N937" s="140"/>
    </row>
    <row r="938" ht="15.75" customHeight="1">
      <c r="A938" s="140"/>
      <c r="B938" s="140"/>
      <c r="C938" s="140"/>
      <c r="D938" s="140"/>
      <c r="E938" s="140"/>
      <c r="F938" s="140"/>
      <c r="J938" s="140"/>
      <c r="K938" s="140"/>
      <c r="L938" s="140"/>
      <c r="M938" s="140"/>
      <c r="N938" s="140"/>
    </row>
    <row r="939" ht="15.75" customHeight="1">
      <c r="A939" s="140"/>
      <c r="B939" s="140"/>
      <c r="C939" s="140"/>
      <c r="D939" s="140"/>
      <c r="E939" s="140"/>
      <c r="F939" s="140"/>
      <c r="J939" s="140"/>
      <c r="K939" s="140"/>
      <c r="L939" s="140"/>
      <c r="M939" s="140"/>
      <c r="N939" s="140"/>
    </row>
    <row r="940" ht="15.75" customHeight="1">
      <c r="A940" s="140"/>
      <c r="B940" s="140"/>
      <c r="C940" s="140"/>
      <c r="D940" s="140"/>
      <c r="E940" s="140"/>
      <c r="F940" s="140"/>
      <c r="J940" s="140"/>
      <c r="K940" s="140"/>
      <c r="L940" s="140"/>
      <c r="M940" s="140"/>
      <c r="N940" s="140"/>
    </row>
    <row r="941" ht="15.75" customHeight="1">
      <c r="A941" s="140"/>
      <c r="B941" s="140"/>
      <c r="C941" s="140"/>
      <c r="D941" s="140"/>
      <c r="E941" s="140"/>
      <c r="F941" s="140"/>
      <c r="J941" s="140"/>
      <c r="K941" s="140"/>
      <c r="L941" s="140"/>
      <c r="M941" s="140"/>
      <c r="N941" s="140"/>
    </row>
    <row r="942" ht="15.75" customHeight="1">
      <c r="A942" s="140"/>
      <c r="B942" s="140"/>
      <c r="C942" s="140"/>
      <c r="D942" s="140"/>
      <c r="E942" s="140"/>
      <c r="F942" s="140"/>
      <c r="J942" s="140"/>
      <c r="K942" s="140"/>
      <c r="L942" s="140"/>
      <c r="M942" s="140"/>
      <c r="N942" s="140"/>
    </row>
    <row r="943" ht="15.75" customHeight="1">
      <c r="A943" s="140"/>
      <c r="B943" s="140"/>
      <c r="C943" s="140"/>
      <c r="D943" s="140"/>
      <c r="E943" s="140"/>
      <c r="F943" s="140"/>
      <c r="J943" s="140"/>
      <c r="K943" s="140"/>
      <c r="L943" s="140"/>
      <c r="M943" s="140"/>
      <c r="N943" s="140"/>
    </row>
    <row r="944" ht="15.75" customHeight="1">
      <c r="A944" s="140"/>
      <c r="B944" s="140"/>
      <c r="C944" s="140"/>
      <c r="D944" s="140"/>
      <c r="E944" s="140"/>
      <c r="F944" s="140"/>
      <c r="J944" s="140"/>
      <c r="K944" s="140"/>
      <c r="L944" s="140"/>
      <c r="M944" s="140"/>
      <c r="N944" s="140"/>
    </row>
    <row r="945" ht="15.75" customHeight="1">
      <c r="A945" s="140"/>
      <c r="B945" s="140"/>
      <c r="C945" s="140"/>
      <c r="D945" s="140"/>
      <c r="E945" s="140"/>
      <c r="F945" s="140"/>
      <c r="J945" s="140"/>
      <c r="K945" s="140"/>
      <c r="L945" s="140"/>
      <c r="M945" s="140"/>
      <c r="N945" s="140"/>
    </row>
    <row r="946" ht="15.75" customHeight="1">
      <c r="A946" s="140"/>
      <c r="B946" s="140"/>
      <c r="C946" s="140"/>
      <c r="D946" s="140"/>
      <c r="E946" s="140"/>
      <c r="F946" s="140"/>
      <c r="J946" s="140"/>
      <c r="K946" s="140"/>
      <c r="L946" s="140"/>
      <c r="M946" s="140"/>
      <c r="N946" s="140"/>
    </row>
    <row r="947" ht="15.75" customHeight="1">
      <c r="A947" s="140"/>
      <c r="B947" s="140"/>
      <c r="C947" s="140"/>
      <c r="D947" s="140"/>
      <c r="E947" s="140"/>
      <c r="F947" s="140"/>
      <c r="J947" s="140"/>
      <c r="K947" s="140"/>
      <c r="L947" s="140"/>
      <c r="M947" s="140"/>
      <c r="N947" s="140"/>
    </row>
    <row r="948" ht="15.75" customHeight="1">
      <c r="A948" s="140"/>
      <c r="B948" s="140"/>
      <c r="C948" s="140"/>
      <c r="D948" s="140"/>
      <c r="E948" s="140"/>
      <c r="F948" s="140"/>
      <c r="J948" s="140"/>
      <c r="K948" s="140"/>
      <c r="L948" s="140"/>
      <c r="M948" s="140"/>
      <c r="N948" s="140"/>
    </row>
    <row r="949" ht="15.75" customHeight="1">
      <c r="A949" s="140"/>
      <c r="B949" s="140"/>
      <c r="C949" s="140"/>
      <c r="D949" s="140"/>
      <c r="E949" s="140"/>
      <c r="F949" s="140"/>
      <c r="J949" s="140"/>
      <c r="K949" s="140"/>
      <c r="L949" s="140"/>
      <c r="M949" s="140"/>
      <c r="N949" s="140"/>
    </row>
    <row r="950" ht="15.75" customHeight="1">
      <c r="A950" s="140"/>
      <c r="B950" s="140"/>
      <c r="C950" s="140"/>
      <c r="D950" s="140"/>
      <c r="E950" s="140"/>
      <c r="F950" s="140"/>
      <c r="J950" s="140"/>
      <c r="K950" s="140"/>
      <c r="L950" s="140"/>
      <c r="M950" s="140"/>
      <c r="N950" s="140"/>
    </row>
    <row r="951" ht="15.75" customHeight="1">
      <c r="A951" s="140"/>
      <c r="B951" s="140"/>
      <c r="C951" s="140"/>
      <c r="D951" s="140"/>
      <c r="E951" s="140"/>
      <c r="F951" s="140"/>
      <c r="J951" s="140"/>
      <c r="K951" s="140"/>
      <c r="L951" s="140"/>
      <c r="M951" s="140"/>
      <c r="N951" s="140"/>
    </row>
    <row r="952" ht="15.75" customHeight="1">
      <c r="A952" s="140"/>
      <c r="B952" s="140"/>
      <c r="C952" s="140"/>
      <c r="D952" s="140"/>
      <c r="E952" s="140"/>
      <c r="F952" s="140"/>
      <c r="J952" s="140"/>
      <c r="K952" s="140"/>
      <c r="L952" s="140"/>
      <c r="M952" s="140"/>
      <c r="N952" s="140"/>
    </row>
    <row r="953" ht="15.75" customHeight="1">
      <c r="A953" s="140"/>
      <c r="B953" s="140"/>
      <c r="C953" s="140"/>
      <c r="D953" s="140"/>
      <c r="E953" s="140"/>
      <c r="F953" s="140"/>
      <c r="J953" s="140"/>
      <c r="K953" s="140"/>
      <c r="L953" s="140"/>
      <c r="M953" s="140"/>
      <c r="N953" s="140"/>
    </row>
    <row r="954" ht="15.75" customHeight="1">
      <c r="A954" s="140"/>
      <c r="B954" s="140"/>
      <c r="C954" s="140"/>
      <c r="D954" s="140"/>
      <c r="E954" s="140"/>
      <c r="F954" s="140"/>
      <c r="J954" s="140"/>
      <c r="K954" s="140"/>
      <c r="L954" s="140"/>
      <c r="M954" s="140"/>
      <c r="N954" s="140"/>
    </row>
    <row r="955" ht="15.75" customHeight="1">
      <c r="A955" s="140"/>
      <c r="B955" s="140"/>
      <c r="C955" s="140"/>
      <c r="D955" s="140"/>
      <c r="E955" s="140"/>
      <c r="F955" s="140"/>
      <c r="J955" s="140"/>
      <c r="K955" s="140"/>
      <c r="L955" s="140"/>
      <c r="M955" s="140"/>
      <c r="N955" s="140"/>
    </row>
    <row r="956" ht="15.75" customHeight="1">
      <c r="A956" s="140"/>
      <c r="B956" s="140"/>
      <c r="C956" s="140"/>
      <c r="D956" s="140"/>
      <c r="E956" s="140"/>
      <c r="F956" s="140"/>
      <c r="J956" s="140"/>
      <c r="K956" s="140"/>
      <c r="L956" s="140"/>
      <c r="M956" s="140"/>
      <c r="N956" s="140"/>
    </row>
    <row r="957" ht="15.75" customHeight="1">
      <c r="A957" s="140"/>
      <c r="B957" s="140"/>
      <c r="C957" s="140"/>
      <c r="D957" s="140"/>
      <c r="E957" s="140"/>
      <c r="F957" s="140"/>
      <c r="J957" s="140"/>
      <c r="K957" s="140"/>
      <c r="L957" s="140"/>
      <c r="M957" s="140"/>
      <c r="N957" s="140"/>
    </row>
    <row r="958" ht="15.75" customHeight="1">
      <c r="A958" s="140"/>
      <c r="B958" s="140"/>
      <c r="C958" s="140"/>
      <c r="D958" s="140"/>
      <c r="E958" s="140"/>
      <c r="F958" s="140"/>
      <c r="J958" s="140"/>
      <c r="K958" s="140"/>
      <c r="L958" s="140"/>
      <c r="M958" s="140"/>
      <c r="N958" s="140"/>
    </row>
    <row r="959" ht="15.75" customHeight="1">
      <c r="A959" s="140"/>
      <c r="B959" s="140"/>
      <c r="C959" s="140"/>
      <c r="D959" s="140"/>
      <c r="E959" s="140"/>
      <c r="F959" s="140"/>
      <c r="J959" s="140"/>
      <c r="K959" s="140"/>
      <c r="L959" s="140"/>
      <c r="M959" s="140"/>
      <c r="N959" s="140"/>
    </row>
    <row r="960" ht="15.75" customHeight="1">
      <c r="A960" s="140"/>
      <c r="B960" s="140"/>
      <c r="C960" s="140"/>
      <c r="D960" s="140"/>
      <c r="E960" s="140"/>
      <c r="F960" s="140"/>
      <c r="J960" s="140"/>
      <c r="K960" s="140"/>
      <c r="L960" s="140"/>
      <c r="M960" s="140"/>
      <c r="N960" s="140"/>
    </row>
    <row r="961" ht="15.75" customHeight="1">
      <c r="A961" s="140"/>
      <c r="B961" s="140"/>
      <c r="C961" s="140"/>
      <c r="D961" s="140"/>
      <c r="E961" s="140"/>
      <c r="F961" s="140"/>
      <c r="J961" s="140"/>
      <c r="K961" s="140"/>
      <c r="L961" s="140"/>
      <c r="M961" s="140"/>
      <c r="N961" s="140"/>
    </row>
    <row r="962" ht="15.75" customHeight="1">
      <c r="A962" s="140"/>
      <c r="B962" s="140"/>
      <c r="C962" s="140"/>
      <c r="D962" s="140"/>
      <c r="E962" s="140"/>
      <c r="F962" s="140"/>
      <c r="J962" s="140"/>
      <c r="K962" s="140"/>
      <c r="L962" s="140"/>
      <c r="M962" s="140"/>
      <c r="N962" s="140"/>
    </row>
    <row r="963" ht="15.75" customHeight="1">
      <c r="A963" s="140"/>
      <c r="B963" s="140"/>
      <c r="C963" s="140"/>
      <c r="D963" s="140"/>
      <c r="E963" s="140"/>
      <c r="F963" s="140"/>
      <c r="J963" s="140"/>
      <c r="K963" s="140"/>
      <c r="L963" s="140"/>
      <c r="M963" s="140"/>
      <c r="N963" s="140"/>
    </row>
    <row r="964" ht="15.75" customHeight="1">
      <c r="A964" s="140"/>
      <c r="B964" s="140"/>
      <c r="C964" s="140"/>
      <c r="D964" s="140"/>
      <c r="E964" s="140"/>
      <c r="F964" s="140"/>
      <c r="J964" s="140"/>
      <c r="K964" s="140"/>
      <c r="L964" s="140"/>
      <c r="M964" s="140"/>
      <c r="N964" s="140"/>
    </row>
    <row r="965" ht="15.75" customHeight="1">
      <c r="A965" s="140"/>
      <c r="B965" s="140"/>
      <c r="C965" s="140"/>
      <c r="D965" s="140"/>
      <c r="E965" s="140"/>
      <c r="F965" s="140"/>
      <c r="J965" s="140"/>
      <c r="K965" s="140"/>
      <c r="L965" s="140"/>
      <c r="M965" s="140"/>
      <c r="N965" s="140"/>
    </row>
    <row r="966" ht="15.75" customHeight="1">
      <c r="A966" s="140"/>
      <c r="B966" s="140"/>
      <c r="C966" s="140"/>
      <c r="D966" s="140"/>
      <c r="E966" s="140"/>
      <c r="F966" s="140"/>
      <c r="J966" s="140"/>
      <c r="K966" s="140"/>
      <c r="L966" s="140"/>
      <c r="M966" s="140"/>
      <c r="N966" s="140"/>
    </row>
    <row r="967" ht="15.75" customHeight="1">
      <c r="A967" s="140"/>
      <c r="B967" s="140"/>
      <c r="C967" s="140"/>
      <c r="D967" s="140"/>
      <c r="E967" s="140"/>
      <c r="F967" s="140"/>
      <c r="J967" s="140"/>
      <c r="K967" s="140"/>
      <c r="L967" s="140"/>
      <c r="M967" s="140"/>
      <c r="N967" s="140"/>
    </row>
    <row r="968" ht="15.75" customHeight="1">
      <c r="A968" s="140"/>
      <c r="B968" s="140"/>
      <c r="C968" s="140"/>
      <c r="D968" s="140"/>
      <c r="E968" s="140"/>
      <c r="F968" s="140"/>
      <c r="J968" s="140"/>
      <c r="K968" s="140"/>
      <c r="L968" s="140"/>
      <c r="M968" s="140"/>
      <c r="N968" s="140"/>
    </row>
    <row r="969" ht="15.75" customHeight="1">
      <c r="A969" s="140"/>
      <c r="B969" s="140"/>
      <c r="C969" s="140"/>
      <c r="D969" s="140"/>
      <c r="E969" s="140"/>
      <c r="F969" s="140"/>
      <c r="J969" s="140"/>
      <c r="K969" s="140"/>
      <c r="L969" s="140"/>
      <c r="M969" s="140"/>
      <c r="N969" s="140"/>
    </row>
    <row r="970" ht="15.75" customHeight="1">
      <c r="A970" s="140"/>
      <c r="B970" s="140"/>
      <c r="C970" s="140"/>
      <c r="D970" s="140"/>
      <c r="E970" s="140"/>
      <c r="F970" s="140"/>
      <c r="J970" s="140"/>
      <c r="K970" s="140"/>
      <c r="L970" s="140"/>
      <c r="M970" s="140"/>
      <c r="N970" s="140"/>
    </row>
    <row r="971" ht="15.75" customHeight="1">
      <c r="A971" s="140"/>
      <c r="B971" s="140"/>
      <c r="C971" s="140"/>
      <c r="D971" s="140"/>
      <c r="E971" s="140"/>
      <c r="F971" s="140"/>
      <c r="J971" s="140"/>
      <c r="K971" s="140"/>
      <c r="L971" s="140"/>
      <c r="M971" s="140"/>
      <c r="N971" s="140"/>
    </row>
    <row r="972" ht="15.75" customHeight="1">
      <c r="A972" s="140"/>
      <c r="B972" s="140"/>
      <c r="C972" s="140"/>
      <c r="D972" s="140"/>
      <c r="E972" s="140"/>
      <c r="F972" s="140"/>
      <c r="J972" s="140"/>
      <c r="K972" s="140"/>
      <c r="L972" s="140"/>
      <c r="M972" s="140"/>
      <c r="N972" s="140"/>
    </row>
    <row r="973" ht="15.75" customHeight="1">
      <c r="A973" s="140"/>
      <c r="B973" s="140"/>
      <c r="C973" s="140"/>
      <c r="D973" s="140"/>
      <c r="E973" s="140"/>
      <c r="F973" s="140"/>
      <c r="J973" s="140"/>
      <c r="K973" s="140"/>
      <c r="L973" s="140"/>
      <c r="M973" s="140"/>
      <c r="N973" s="140"/>
    </row>
    <row r="974" ht="15.75" customHeight="1">
      <c r="A974" s="140"/>
      <c r="B974" s="140"/>
      <c r="C974" s="140"/>
      <c r="D974" s="140"/>
      <c r="E974" s="140"/>
      <c r="F974" s="140"/>
      <c r="J974" s="140"/>
      <c r="K974" s="140"/>
      <c r="L974" s="140"/>
      <c r="M974" s="140"/>
      <c r="N974" s="140"/>
    </row>
    <row r="975" ht="15.75" customHeight="1">
      <c r="A975" s="140"/>
      <c r="B975" s="140"/>
      <c r="C975" s="140"/>
      <c r="D975" s="140"/>
      <c r="E975" s="140"/>
      <c r="F975" s="140"/>
      <c r="J975" s="140"/>
      <c r="K975" s="140"/>
      <c r="L975" s="140"/>
      <c r="M975" s="140"/>
      <c r="N975" s="140"/>
    </row>
    <row r="976" ht="15.75" customHeight="1">
      <c r="A976" s="140"/>
      <c r="B976" s="140"/>
      <c r="C976" s="140"/>
      <c r="D976" s="140"/>
      <c r="E976" s="140"/>
      <c r="F976" s="140"/>
      <c r="J976" s="140"/>
      <c r="K976" s="140"/>
      <c r="L976" s="140"/>
      <c r="M976" s="140"/>
      <c r="N976" s="140"/>
    </row>
    <row r="977" ht="15.75" customHeight="1">
      <c r="A977" s="140"/>
      <c r="B977" s="140"/>
      <c r="C977" s="140"/>
      <c r="D977" s="140"/>
      <c r="E977" s="140"/>
      <c r="F977" s="140"/>
      <c r="J977" s="140"/>
      <c r="K977" s="140"/>
      <c r="L977" s="140"/>
      <c r="M977" s="140"/>
      <c r="N977" s="140"/>
    </row>
    <row r="978" ht="15.75" customHeight="1">
      <c r="A978" s="140"/>
      <c r="B978" s="140"/>
      <c r="C978" s="140"/>
      <c r="D978" s="140"/>
      <c r="E978" s="140"/>
      <c r="F978" s="140"/>
      <c r="J978" s="140"/>
      <c r="K978" s="140"/>
      <c r="L978" s="140"/>
      <c r="M978" s="140"/>
      <c r="N978" s="140"/>
    </row>
    <row r="979" ht="15.75" customHeight="1">
      <c r="A979" s="140"/>
      <c r="B979" s="140"/>
      <c r="C979" s="140"/>
      <c r="D979" s="140"/>
      <c r="E979" s="140"/>
      <c r="F979" s="140"/>
      <c r="J979" s="140"/>
      <c r="K979" s="140"/>
      <c r="L979" s="140"/>
      <c r="M979" s="140"/>
      <c r="N979" s="140"/>
    </row>
    <row r="980" ht="15.75" customHeight="1">
      <c r="A980" s="140"/>
      <c r="B980" s="140"/>
      <c r="C980" s="140"/>
      <c r="D980" s="140"/>
      <c r="E980" s="140"/>
      <c r="F980" s="140"/>
      <c r="J980" s="140"/>
      <c r="K980" s="140"/>
      <c r="L980" s="140"/>
      <c r="M980" s="140"/>
      <c r="N980" s="140"/>
    </row>
    <row r="981" ht="15.75" customHeight="1">
      <c r="A981" s="140"/>
      <c r="B981" s="140"/>
      <c r="C981" s="140"/>
      <c r="D981" s="140"/>
      <c r="E981" s="140"/>
      <c r="F981" s="140"/>
      <c r="J981" s="140"/>
      <c r="K981" s="140"/>
      <c r="L981" s="140"/>
      <c r="M981" s="140"/>
      <c r="N981" s="140"/>
    </row>
    <row r="982" ht="15.75" customHeight="1">
      <c r="A982" s="140"/>
      <c r="B982" s="140"/>
      <c r="C982" s="140"/>
      <c r="D982" s="140"/>
      <c r="E982" s="140"/>
      <c r="F982" s="140"/>
      <c r="J982" s="140"/>
      <c r="K982" s="140"/>
      <c r="L982" s="140"/>
      <c r="M982" s="140"/>
      <c r="N982" s="140"/>
    </row>
    <row r="983" ht="15.75" customHeight="1">
      <c r="A983" s="140"/>
      <c r="B983" s="140"/>
      <c r="C983" s="140"/>
      <c r="D983" s="140"/>
      <c r="E983" s="140"/>
      <c r="F983" s="140"/>
      <c r="J983" s="140"/>
      <c r="K983" s="140"/>
      <c r="L983" s="140"/>
      <c r="M983" s="140"/>
      <c r="N983" s="140"/>
    </row>
    <row r="984" ht="15.75" customHeight="1">
      <c r="A984" s="140"/>
      <c r="B984" s="140"/>
      <c r="C984" s="140"/>
      <c r="D984" s="140"/>
      <c r="E984" s="140"/>
      <c r="F984" s="140"/>
      <c r="J984" s="140"/>
      <c r="K984" s="140"/>
      <c r="L984" s="140"/>
      <c r="M984" s="140"/>
      <c r="N984" s="140"/>
    </row>
    <row r="985" ht="15.75" customHeight="1">
      <c r="A985" s="140"/>
      <c r="B985" s="140"/>
      <c r="C985" s="140"/>
      <c r="D985" s="140"/>
      <c r="E985" s="140"/>
      <c r="F985" s="140"/>
      <c r="J985" s="140"/>
      <c r="K985" s="140"/>
      <c r="L985" s="140"/>
      <c r="M985" s="140"/>
      <c r="N985" s="140"/>
    </row>
    <row r="986" ht="15.75" customHeight="1">
      <c r="A986" s="140"/>
      <c r="B986" s="140"/>
      <c r="C986" s="140"/>
      <c r="D986" s="140"/>
      <c r="E986" s="140"/>
      <c r="F986" s="140"/>
      <c r="J986" s="140"/>
      <c r="K986" s="140"/>
      <c r="L986" s="140"/>
      <c r="M986" s="140"/>
      <c r="N986" s="140"/>
    </row>
    <row r="987" ht="15.75" customHeight="1">
      <c r="A987" s="140"/>
      <c r="B987" s="140"/>
      <c r="C987" s="140"/>
      <c r="D987" s="140"/>
      <c r="E987" s="140"/>
      <c r="F987" s="140"/>
      <c r="J987" s="140"/>
      <c r="K987" s="140"/>
      <c r="L987" s="140"/>
      <c r="M987" s="140"/>
      <c r="N987" s="140"/>
    </row>
    <row r="988" ht="15.75" customHeight="1">
      <c r="A988" s="140"/>
      <c r="B988" s="140"/>
      <c r="C988" s="140"/>
      <c r="D988" s="140"/>
      <c r="E988" s="140"/>
      <c r="F988" s="140"/>
      <c r="J988" s="140"/>
      <c r="K988" s="140"/>
      <c r="L988" s="140"/>
      <c r="M988" s="140"/>
      <c r="N988" s="140"/>
    </row>
    <row r="989" ht="15.75" customHeight="1">
      <c r="A989" s="140"/>
      <c r="B989" s="140"/>
      <c r="C989" s="140"/>
      <c r="D989" s="140"/>
      <c r="E989" s="140"/>
      <c r="F989" s="140"/>
      <c r="J989" s="140"/>
      <c r="K989" s="140"/>
      <c r="L989" s="140"/>
      <c r="M989" s="140"/>
      <c r="N989" s="140"/>
    </row>
    <row r="990" ht="15.75" customHeight="1">
      <c r="A990" s="140"/>
      <c r="B990" s="140"/>
      <c r="C990" s="140"/>
      <c r="D990" s="140"/>
      <c r="E990" s="140"/>
      <c r="F990" s="140"/>
      <c r="J990" s="140"/>
      <c r="K990" s="140"/>
      <c r="L990" s="140"/>
      <c r="M990" s="140"/>
      <c r="N990" s="140"/>
    </row>
    <row r="991" ht="15.75" customHeight="1">
      <c r="A991" s="140"/>
      <c r="B991" s="140"/>
      <c r="C991" s="140"/>
      <c r="D991" s="140"/>
      <c r="E991" s="140"/>
      <c r="F991" s="140"/>
      <c r="J991" s="140"/>
      <c r="K991" s="140"/>
      <c r="L991" s="140"/>
      <c r="M991" s="140"/>
      <c r="N991" s="140"/>
    </row>
    <row r="992" ht="15.75" customHeight="1">
      <c r="A992" s="140"/>
      <c r="B992" s="140"/>
      <c r="C992" s="140"/>
      <c r="D992" s="140"/>
      <c r="E992" s="140"/>
      <c r="F992" s="140"/>
      <c r="J992" s="140"/>
      <c r="K992" s="140"/>
      <c r="L992" s="140"/>
      <c r="M992" s="140"/>
      <c r="N992" s="140"/>
    </row>
    <row r="993" ht="15.75" customHeight="1">
      <c r="A993" s="140"/>
      <c r="B993" s="140"/>
      <c r="C993" s="140"/>
      <c r="D993" s="140"/>
      <c r="E993" s="140"/>
      <c r="F993" s="140"/>
      <c r="J993" s="140"/>
      <c r="K993" s="140"/>
      <c r="L993" s="140"/>
      <c r="M993" s="140"/>
      <c r="N993" s="140"/>
    </row>
    <row r="994" ht="15.75" customHeight="1">
      <c r="A994" s="140"/>
      <c r="B994" s="140"/>
      <c r="C994" s="140"/>
      <c r="D994" s="140"/>
      <c r="E994" s="140"/>
      <c r="F994" s="140"/>
      <c r="J994" s="140"/>
      <c r="K994" s="140"/>
      <c r="L994" s="140"/>
      <c r="M994" s="140"/>
      <c r="N994" s="140"/>
    </row>
    <row r="995" ht="15.75" customHeight="1">
      <c r="A995" s="140"/>
      <c r="B995" s="140"/>
      <c r="C995" s="140"/>
      <c r="D995" s="140"/>
      <c r="E995" s="140"/>
      <c r="F995" s="140"/>
      <c r="J995" s="140"/>
      <c r="K995" s="140"/>
      <c r="L995" s="140"/>
      <c r="M995" s="140"/>
      <c r="N995" s="140"/>
    </row>
    <row r="996" ht="15.75" customHeight="1">
      <c r="A996" s="140"/>
      <c r="B996" s="140"/>
      <c r="C996" s="140"/>
      <c r="D996" s="140"/>
      <c r="E996" s="140"/>
      <c r="F996" s="140"/>
      <c r="J996" s="140"/>
      <c r="K996" s="140"/>
      <c r="L996" s="140"/>
      <c r="M996" s="140"/>
      <c r="N996" s="140"/>
    </row>
    <row r="997" ht="15.75" customHeight="1">
      <c r="A997" s="140"/>
      <c r="B997" s="140"/>
      <c r="C997" s="140"/>
      <c r="D997" s="140"/>
      <c r="E997" s="140"/>
      <c r="F997" s="140"/>
      <c r="J997" s="140"/>
      <c r="K997" s="140"/>
      <c r="L997" s="140"/>
      <c r="M997" s="140"/>
      <c r="N997" s="140"/>
    </row>
    <row r="998" ht="15.75" customHeight="1">
      <c r="A998" s="140"/>
      <c r="B998" s="140"/>
      <c r="C998" s="140"/>
      <c r="D998" s="140"/>
      <c r="E998" s="140"/>
      <c r="F998" s="140"/>
      <c r="J998" s="140"/>
      <c r="K998" s="140"/>
      <c r="L998" s="140"/>
      <c r="M998" s="140"/>
      <c r="N998" s="140"/>
    </row>
    <row r="999" ht="15.75" customHeight="1">
      <c r="A999" s="140"/>
      <c r="B999" s="140"/>
      <c r="C999" s="140"/>
      <c r="D999" s="140"/>
      <c r="E999" s="140"/>
      <c r="F999" s="140"/>
      <c r="J999" s="140"/>
      <c r="K999" s="140"/>
      <c r="L999" s="140"/>
      <c r="M999" s="140"/>
      <c r="N999" s="140"/>
    </row>
    <row r="1000" ht="15.75" customHeight="1">
      <c r="A1000" s="140"/>
      <c r="B1000" s="140"/>
      <c r="C1000" s="140"/>
      <c r="D1000" s="140"/>
      <c r="E1000" s="140"/>
      <c r="F1000" s="140"/>
      <c r="J1000" s="140"/>
      <c r="K1000" s="140"/>
      <c r="L1000" s="140"/>
      <c r="M1000" s="140"/>
      <c r="N1000" s="140"/>
    </row>
    <row r="1001" ht="15.75" customHeight="1">
      <c r="A1001" s="140"/>
      <c r="B1001" s="140"/>
      <c r="C1001" s="140"/>
      <c r="D1001" s="140"/>
      <c r="E1001" s="140"/>
      <c r="F1001" s="140"/>
      <c r="J1001" s="140"/>
      <c r="K1001" s="140"/>
      <c r="L1001" s="140"/>
      <c r="M1001" s="140"/>
      <c r="N1001" s="140"/>
    </row>
    <row r="1002" ht="15.75" customHeight="1">
      <c r="A1002" s="140"/>
      <c r="B1002" s="140"/>
      <c r="C1002" s="140"/>
      <c r="D1002" s="140"/>
      <c r="E1002" s="140"/>
      <c r="F1002" s="140"/>
      <c r="J1002" s="140"/>
      <c r="K1002" s="140"/>
      <c r="L1002" s="140"/>
      <c r="M1002" s="140"/>
      <c r="N1002" s="140"/>
    </row>
    <row r="1003" ht="15.75" customHeight="1">
      <c r="A1003" s="140"/>
      <c r="B1003" s="140"/>
      <c r="C1003" s="140"/>
      <c r="D1003" s="140"/>
      <c r="E1003" s="140"/>
      <c r="F1003" s="140"/>
      <c r="J1003" s="140"/>
      <c r="K1003" s="140"/>
      <c r="L1003" s="140"/>
      <c r="M1003" s="140"/>
      <c r="N1003" s="140"/>
    </row>
    <row r="1004" ht="15.75" customHeight="1">
      <c r="A1004" s="140"/>
      <c r="B1004" s="140"/>
      <c r="C1004" s="140"/>
      <c r="D1004" s="140"/>
      <c r="E1004" s="140"/>
      <c r="F1004" s="140"/>
      <c r="J1004" s="140"/>
      <c r="K1004" s="140"/>
      <c r="L1004" s="140"/>
      <c r="M1004" s="140"/>
      <c r="N1004" s="140"/>
    </row>
    <row r="1005" ht="15.75" customHeight="1">
      <c r="A1005" s="140"/>
      <c r="B1005" s="140"/>
      <c r="C1005" s="140"/>
      <c r="D1005" s="140"/>
      <c r="E1005" s="140"/>
      <c r="F1005" s="140"/>
      <c r="J1005" s="140"/>
      <c r="K1005" s="140"/>
      <c r="L1005" s="140"/>
      <c r="M1005" s="140"/>
      <c r="N1005" s="140"/>
    </row>
    <row r="1006" ht="15.75" customHeight="1">
      <c r="A1006" s="140"/>
      <c r="B1006" s="140"/>
      <c r="C1006" s="140"/>
      <c r="D1006" s="140"/>
      <c r="E1006" s="140"/>
      <c r="F1006" s="140"/>
      <c r="J1006" s="140"/>
      <c r="K1006" s="140"/>
      <c r="L1006" s="140"/>
      <c r="M1006" s="140"/>
      <c r="N1006" s="140"/>
    </row>
    <row r="1007" ht="15.75" customHeight="1">
      <c r="A1007" s="140"/>
      <c r="B1007" s="140"/>
      <c r="C1007" s="140"/>
      <c r="D1007" s="140"/>
      <c r="E1007" s="140"/>
      <c r="F1007" s="140"/>
      <c r="J1007" s="140"/>
      <c r="K1007" s="140"/>
      <c r="L1007" s="140"/>
      <c r="M1007" s="140"/>
      <c r="N1007" s="140"/>
    </row>
    <row r="1008" ht="15.75" customHeight="1">
      <c r="A1008" s="140"/>
      <c r="B1008" s="140"/>
      <c r="C1008" s="140"/>
      <c r="D1008" s="140"/>
      <c r="E1008" s="140"/>
      <c r="F1008" s="140"/>
      <c r="J1008" s="140"/>
      <c r="K1008" s="140"/>
      <c r="L1008" s="140"/>
      <c r="M1008" s="140"/>
      <c r="N1008" s="140"/>
    </row>
    <row r="1009" ht="15.75" customHeight="1">
      <c r="A1009" s="140"/>
      <c r="B1009" s="140"/>
      <c r="C1009" s="140"/>
      <c r="D1009" s="140"/>
      <c r="E1009" s="140"/>
      <c r="F1009" s="140"/>
      <c r="J1009" s="140"/>
      <c r="K1009" s="140"/>
      <c r="L1009" s="140"/>
      <c r="M1009" s="140"/>
      <c r="N1009" s="140"/>
    </row>
    <row r="1010" ht="15.75" customHeight="1">
      <c r="A1010" s="140"/>
      <c r="B1010" s="140"/>
      <c r="C1010" s="140"/>
      <c r="D1010" s="140"/>
      <c r="E1010" s="140"/>
      <c r="F1010" s="140"/>
      <c r="J1010" s="140"/>
      <c r="K1010" s="140"/>
      <c r="L1010" s="140"/>
      <c r="M1010" s="140"/>
      <c r="N1010" s="140"/>
    </row>
    <row r="1011" ht="15.75" customHeight="1">
      <c r="A1011" s="140"/>
      <c r="B1011" s="140"/>
      <c r="C1011" s="140"/>
      <c r="D1011" s="140"/>
      <c r="E1011" s="140"/>
      <c r="F1011" s="140"/>
      <c r="J1011" s="140"/>
      <c r="K1011" s="140"/>
      <c r="L1011" s="140"/>
      <c r="M1011" s="140"/>
      <c r="N1011" s="140"/>
    </row>
    <row r="1012" ht="15.75" customHeight="1">
      <c r="A1012" s="140"/>
      <c r="B1012" s="140"/>
      <c r="C1012" s="140"/>
      <c r="D1012" s="140"/>
      <c r="E1012" s="140"/>
      <c r="F1012" s="140"/>
      <c r="J1012" s="140"/>
      <c r="K1012" s="140"/>
      <c r="L1012" s="140"/>
      <c r="M1012" s="140"/>
      <c r="N1012" s="140"/>
    </row>
    <row r="1013" ht="15.75" customHeight="1">
      <c r="A1013" s="140"/>
      <c r="B1013" s="140"/>
      <c r="C1013" s="140"/>
      <c r="D1013" s="140"/>
      <c r="E1013" s="140"/>
      <c r="F1013" s="140"/>
      <c r="J1013" s="140"/>
      <c r="K1013" s="140"/>
      <c r="L1013" s="140"/>
      <c r="M1013" s="140"/>
      <c r="N1013" s="140"/>
    </row>
    <row r="1014" ht="15.75" customHeight="1">
      <c r="A1014" s="140"/>
      <c r="B1014" s="140"/>
      <c r="C1014" s="140"/>
      <c r="D1014" s="140"/>
      <c r="E1014" s="140"/>
      <c r="F1014" s="140"/>
      <c r="J1014" s="140"/>
      <c r="K1014" s="140"/>
      <c r="L1014" s="140"/>
      <c r="M1014" s="140"/>
      <c r="N1014" s="140"/>
    </row>
    <row r="1015" ht="15.75" customHeight="1">
      <c r="A1015" s="140"/>
      <c r="B1015" s="140"/>
      <c r="C1015" s="140"/>
      <c r="D1015" s="140"/>
      <c r="E1015" s="140"/>
      <c r="F1015" s="140"/>
      <c r="J1015" s="140"/>
      <c r="K1015" s="140"/>
      <c r="L1015" s="140"/>
      <c r="M1015" s="140"/>
      <c r="N1015" s="140"/>
    </row>
    <row r="1016" ht="15.75" customHeight="1">
      <c r="A1016" s="140"/>
      <c r="B1016" s="140"/>
      <c r="C1016" s="140"/>
      <c r="D1016" s="140"/>
      <c r="E1016" s="140"/>
      <c r="F1016" s="140"/>
      <c r="J1016" s="140"/>
      <c r="K1016" s="140"/>
      <c r="L1016" s="140"/>
      <c r="M1016" s="140"/>
      <c r="N1016" s="140"/>
    </row>
    <row r="1017" ht="15.75" customHeight="1">
      <c r="A1017" s="140"/>
      <c r="B1017" s="140"/>
      <c r="C1017" s="140"/>
      <c r="D1017" s="140"/>
      <c r="E1017" s="140"/>
      <c r="F1017" s="140"/>
      <c r="J1017" s="140"/>
      <c r="K1017" s="140"/>
      <c r="L1017" s="140"/>
      <c r="M1017" s="140"/>
      <c r="N1017" s="140"/>
    </row>
    <row r="1018" ht="15.75" customHeight="1">
      <c r="A1018" s="140"/>
      <c r="B1018" s="140"/>
      <c r="C1018" s="140"/>
      <c r="D1018" s="140"/>
      <c r="E1018" s="140"/>
      <c r="F1018" s="140"/>
      <c r="J1018" s="140"/>
      <c r="K1018" s="140"/>
      <c r="L1018" s="140"/>
      <c r="M1018" s="140"/>
      <c r="N1018" s="140"/>
    </row>
    <row r="1019" ht="15.75" customHeight="1">
      <c r="A1019" s="140"/>
      <c r="B1019" s="140"/>
      <c r="C1019" s="140"/>
      <c r="D1019" s="140"/>
      <c r="E1019" s="140"/>
      <c r="F1019" s="140"/>
      <c r="J1019" s="140"/>
      <c r="K1019" s="140"/>
      <c r="L1019" s="140"/>
      <c r="M1019" s="140"/>
      <c r="N1019" s="140"/>
    </row>
    <row r="1020" ht="15.75" customHeight="1">
      <c r="A1020" s="140"/>
      <c r="B1020" s="140"/>
      <c r="C1020" s="140"/>
      <c r="D1020" s="140"/>
      <c r="E1020" s="140"/>
      <c r="F1020" s="140"/>
      <c r="J1020" s="140"/>
      <c r="K1020" s="140"/>
      <c r="L1020" s="140"/>
      <c r="M1020" s="140"/>
      <c r="N1020" s="140"/>
    </row>
    <row r="1021" ht="15.75" customHeight="1">
      <c r="A1021" s="140"/>
      <c r="B1021" s="140"/>
      <c r="C1021" s="140"/>
      <c r="D1021" s="140"/>
      <c r="E1021" s="140"/>
      <c r="F1021" s="140"/>
      <c r="J1021" s="140"/>
      <c r="K1021" s="140"/>
      <c r="L1021" s="140"/>
      <c r="M1021" s="140"/>
      <c r="N1021" s="140"/>
    </row>
    <row r="1022" ht="15.75" customHeight="1">
      <c r="A1022" s="140"/>
      <c r="B1022" s="140"/>
      <c r="C1022" s="140"/>
      <c r="D1022" s="140"/>
      <c r="E1022" s="140"/>
      <c r="F1022" s="140"/>
      <c r="J1022" s="140"/>
      <c r="K1022" s="140"/>
      <c r="L1022" s="140"/>
      <c r="M1022" s="140"/>
      <c r="N1022" s="140"/>
    </row>
    <row r="1023" ht="15.75" customHeight="1">
      <c r="A1023" s="140"/>
      <c r="B1023" s="140"/>
      <c r="C1023" s="140"/>
      <c r="D1023" s="140"/>
      <c r="E1023" s="140"/>
      <c r="F1023" s="140"/>
      <c r="J1023" s="140"/>
      <c r="K1023" s="140"/>
      <c r="L1023" s="140"/>
      <c r="M1023" s="140"/>
      <c r="N1023" s="140"/>
    </row>
    <row r="1024" ht="15.75" customHeight="1">
      <c r="A1024" s="140"/>
      <c r="B1024" s="140"/>
      <c r="C1024" s="140"/>
      <c r="D1024" s="140"/>
      <c r="E1024" s="140"/>
      <c r="F1024" s="140"/>
      <c r="J1024" s="140"/>
      <c r="K1024" s="140"/>
      <c r="L1024" s="140"/>
      <c r="M1024" s="140"/>
      <c r="N1024" s="140"/>
    </row>
    <row r="1025" ht="15.75" customHeight="1">
      <c r="A1025" s="140"/>
      <c r="B1025" s="140"/>
      <c r="C1025" s="140"/>
      <c r="D1025" s="140"/>
      <c r="E1025" s="140"/>
      <c r="F1025" s="140"/>
      <c r="J1025" s="140"/>
      <c r="K1025" s="140"/>
      <c r="L1025" s="140"/>
      <c r="M1025" s="140"/>
      <c r="N1025" s="140"/>
    </row>
    <row r="1026" ht="15.75" customHeight="1">
      <c r="A1026" s="140"/>
      <c r="B1026" s="140"/>
      <c r="C1026" s="140"/>
      <c r="D1026" s="140"/>
      <c r="E1026" s="140"/>
      <c r="F1026" s="140"/>
      <c r="J1026" s="140"/>
      <c r="K1026" s="140"/>
      <c r="L1026" s="140"/>
      <c r="M1026" s="140"/>
      <c r="N1026" s="140"/>
    </row>
    <row r="1027" ht="15.75" customHeight="1">
      <c r="A1027" s="140"/>
      <c r="B1027" s="140"/>
      <c r="C1027" s="140"/>
      <c r="D1027" s="140"/>
      <c r="E1027" s="140"/>
      <c r="F1027" s="140"/>
      <c r="J1027" s="140"/>
      <c r="K1027" s="140"/>
      <c r="L1027" s="140"/>
      <c r="M1027" s="140"/>
      <c r="N1027" s="140"/>
    </row>
    <row r="1028" ht="15.75" customHeight="1">
      <c r="A1028" s="140"/>
      <c r="B1028" s="140"/>
      <c r="C1028" s="140"/>
      <c r="D1028" s="140"/>
      <c r="E1028" s="140"/>
      <c r="F1028" s="140"/>
      <c r="J1028" s="140"/>
      <c r="K1028" s="140"/>
      <c r="L1028" s="140"/>
      <c r="M1028" s="140"/>
      <c r="N1028" s="140"/>
    </row>
    <row r="1029" ht="15.75" customHeight="1">
      <c r="A1029" s="140"/>
      <c r="B1029" s="140"/>
      <c r="C1029" s="140"/>
      <c r="D1029" s="140"/>
      <c r="E1029" s="140"/>
      <c r="F1029" s="140"/>
      <c r="J1029" s="140"/>
      <c r="K1029" s="140"/>
      <c r="L1029" s="140"/>
      <c r="M1029" s="140"/>
      <c r="N1029" s="140"/>
    </row>
    <row r="1030" ht="15.75" customHeight="1">
      <c r="A1030" s="140"/>
      <c r="B1030" s="140"/>
      <c r="C1030" s="140"/>
      <c r="D1030" s="140"/>
      <c r="E1030" s="140"/>
      <c r="F1030" s="140"/>
      <c r="J1030" s="140"/>
      <c r="K1030" s="140"/>
      <c r="L1030" s="140"/>
      <c r="M1030" s="140"/>
      <c r="N1030" s="140"/>
    </row>
    <row r="1031" ht="15.75" customHeight="1">
      <c r="A1031" s="140"/>
      <c r="B1031" s="140"/>
      <c r="C1031" s="140"/>
      <c r="D1031" s="140"/>
      <c r="E1031" s="140"/>
      <c r="F1031" s="140"/>
      <c r="J1031" s="140"/>
      <c r="K1031" s="140"/>
      <c r="L1031" s="140"/>
      <c r="M1031" s="140"/>
      <c r="N1031" s="140"/>
    </row>
    <row r="1032" ht="15.75" customHeight="1">
      <c r="A1032" s="140"/>
      <c r="B1032" s="140"/>
      <c r="C1032" s="140"/>
      <c r="D1032" s="140"/>
      <c r="E1032" s="140"/>
      <c r="F1032" s="140"/>
      <c r="J1032" s="140"/>
      <c r="K1032" s="140"/>
      <c r="L1032" s="140"/>
      <c r="M1032" s="140"/>
      <c r="N1032" s="140"/>
    </row>
    <row r="1033" ht="15.75" customHeight="1">
      <c r="A1033" s="140"/>
      <c r="B1033" s="140"/>
      <c r="C1033" s="140"/>
      <c r="D1033" s="140"/>
      <c r="E1033" s="140"/>
      <c r="F1033" s="140"/>
      <c r="J1033" s="140"/>
      <c r="K1033" s="140"/>
      <c r="L1033" s="140"/>
      <c r="M1033" s="140"/>
      <c r="N1033" s="140"/>
    </row>
    <row r="1034" ht="15.75" customHeight="1">
      <c r="A1034" s="140"/>
      <c r="B1034" s="140"/>
      <c r="C1034" s="140"/>
      <c r="D1034" s="140"/>
      <c r="E1034" s="140"/>
      <c r="F1034" s="140"/>
      <c r="J1034" s="140"/>
      <c r="K1034" s="140"/>
      <c r="L1034" s="140"/>
      <c r="M1034" s="140"/>
      <c r="N1034" s="140"/>
    </row>
    <row r="1035" ht="15.75" customHeight="1">
      <c r="A1035" s="140"/>
      <c r="B1035" s="140"/>
      <c r="C1035" s="140"/>
      <c r="D1035" s="140"/>
      <c r="E1035" s="140"/>
      <c r="F1035" s="140"/>
      <c r="J1035" s="140"/>
      <c r="K1035" s="140"/>
      <c r="L1035" s="140"/>
      <c r="M1035" s="140"/>
      <c r="N1035" s="140"/>
    </row>
    <row r="1036" ht="15.75" customHeight="1">
      <c r="A1036" s="140"/>
      <c r="B1036" s="140"/>
      <c r="C1036" s="140"/>
      <c r="D1036" s="140"/>
      <c r="E1036" s="140"/>
      <c r="F1036" s="140"/>
      <c r="J1036" s="140"/>
      <c r="K1036" s="140"/>
      <c r="L1036" s="140"/>
      <c r="M1036" s="140"/>
      <c r="N1036" s="140"/>
    </row>
    <row r="1037" ht="15.75" customHeight="1">
      <c r="A1037" s="140"/>
      <c r="B1037" s="140"/>
      <c r="C1037" s="140"/>
      <c r="D1037" s="140"/>
      <c r="E1037" s="140"/>
      <c r="F1037" s="140"/>
      <c r="J1037" s="140"/>
      <c r="K1037" s="140"/>
      <c r="L1037" s="140"/>
      <c r="M1037" s="140"/>
      <c r="N1037" s="140"/>
    </row>
    <row r="1038" ht="15.75" customHeight="1">
      <c r="A1038" s="140"/>
      <c r="B1038" s="140"/>
      <c r="C1038" s="140"/>
      <c r="D1038" s="140"/>
      <c r="E1038" s="140"/>
      <c r="F1038" s="140"/>
      <c r="J1038" s="140"/>
      <c r="K1038" s="140"/>
      <c r="L1038" s="140"/>
      <c r="M1038" s="140"/>
      <c r="N1038" s="140"/>
    </row>
    <row r="1039" ht="15.75" customHeight="1">
      <c r="A1039" s="140"/>
      <c r="B1039" s="140"/>
      <c r="C1039" s="140"/>
      <c r="D1039" s="140"/>
      <c r="E1039" s="140"/>
      <c r="F1039" s="140"/>
      <c r="J1039" s="140"/>
      <c r="K1039" s="140"/>
      <c r="L1039" s="140"/>
      <c r="M1039" s="140"/>
      <c r="N1039" s="140"/>
    </row>
    <row r="1040" ht="15.75" customHeight="1">
      <c r="A1040" s="140"/>
      <c r="B1040" s="140"/>
      <c r="C1040" s="140"/>
      <c r="D1040" s="140"/>
      <c r="E1040" s="140"/>
      <c r="F1040" s="140"/>
      <c r="J1040" s="140"/>
      <c r="K1040" s="140"/>
      <c r="L1040" s="140"/>
      <c r="M1040" s="140"/>
      <c r="N1040" s="140"/>
    </row>
    <row r="1041" ht="15.75" customHeight="1">
      <c r="A1041" s="140"/>
      <c r="B1041" s="140"/>
      <c r="C1041" s="140"/>
      <c r="D1041" s="140"/>
      <c r="E1041" s="140"/>
      <c r="F1041" s="140"/>
      <c r="J1041" s="140"/>
      <c r="K1041" s="140"/>
      <c r="L1041" s="140"/>
      <c r="M1041" s="140"/>
      <c r="N1041" s="140"/>
    </row>
    <row r="1042" ht="15.75" customHeight="1">
      <c r="A1042" s="140"/>
      <c r="B1042" s="140"/>
      <c r="C1042" s="140"/>
      <c r="D1042" s="140"/>
      <c r="E1042" s="140"/>
      <c r="F1042" s="140"/>
      <c r="J1042" s="140"/>
      <c r="K1042" s="140"/>
      <c r="L1042" s="140"/>
      <c r="M1042" s="140"/>
      <c r="N1042" s="140"/>
    </row>
    <row r="1043" ht="15.75" customHeight="1">
      <c r="A1043" s="140"/>
      <c r="B1043" s="140"/>
      <c r="C1043" s="140"/>
      <c r="D1043" s="140"/>
      <c r="E1043" s="140"/>
      <c r="F1043" s="140"/>
      <c r="J1043" s="140"/>
      <c r="K1043" s="140"/>
      <c r="L1043" s="140"/>
      <c r="M1043" s="140"/>
      <c r="N1043" s="140"/>
    </row>
    <row r="1044" ht="15.75" customHeight="1">
      <c r="A1044" s="140"/>
      <c r="B1044" s="140"/>
      <c r="C1044" s="140"/>
      <c r="D1044" s="140"/>
      <c r="E1044" s="140"/>
      <c r="F1044" s="140"/>
      <c r="J1044" s="140"/>
      <c r="K1044" s="140"/>
      <c r="L1044" s="140"/>
      <c r="M1044" s="140"/>
      <c r="N1044" s="140"/>
    </row>
    <row r="1045" ht="15.75" customHeight="1">
      <c r="A1045" s="140"/>
      <c r="B1045" s="140"/>
      <c r="C1045" s="140"/>
      <c r="D1045" s="140"/>
      <c r="E1045" s="140"/>
      <c r="F1045" s="140"/>
      <c r="J1045" s="140"/>
      <c r="K1045" s="140"/>
      <c r="L1045" s="140"/>
      <c r="M1045" s="140"/>
      <c r="N1045" s="140"/>
    </row>
    <row r="1046" ht="15.75" customHeight="1">
      <c r="A1046" s="140"/>
      <c r="B1046" s="140"/>
      <c r="C1046" s="140"/>
      <c r="D1046" s="140"/>
      <c r="E1046" s="140"/>
      <c r="F1046" s="140"/>
      <c r="J1046" s="140"/>
      <c r="K1046" s="140"/>
      <c r="L1046" s="140"/>
      <c r="M1046" s="140"/>
      <c r="N1046" s="140"/>
    </row>
    <row r="1047" ht="15.75" customHeight="1">
      <c r="A1047" s="140"/>
      <c r="B1047" s="140"/>
      <c r="C1047" s="140"/>
      <c r="D1047" s="140"/>
      <c r="E1047" s="140"/>
      <c r="F1047" s="140"/>
      <c r="J1047" s="140"/>
      <c r="K1047" s="140"/>
      <c r="L1047" s="140"/>
      <c r="M1047" s="140"/>
      <c r="N1047" s="140"/>
    </row>
    <row r="1048" ht="15.75" customHeight="1">
      <c r="A1048" s="140"/>
      <c r="B1048" s="140"/>
      <c r="C1048" s="140"/>
      <c r="D1048" s="140"/>
      <c r="E1048" s="140"/>
      <c r="F1048" s="140"/>
      <c r="J1048" s="140"/>
      <c r="K1048" s="140"/>
      <c r="L1048" s="140"/>
      <c r="M1048" s="140"/>
      <c r="N1048" s="140"/>
    </row>
    <row r="1049" ht="15.75" customHeight="1">
      <c r="A1049" s="140"/>
      <c r="B1049" s="140"/>
      <c r="C1049" s="140"/>
      <c r="D1049" s="140"/>
      <c r="E1049" s="140"/>
      <c r="F1049" s="140"/>
      <c r="J1049" s="140"/>
      <c r="K1049" s="140"/>
      <c r="L1049" s="140"/>
      <c r="M1049" s="140"/>
      <c r="N1049" s="140"/>
    </row>
    <row r="1050" ht="15.75" customHeight="1">
      <c r="A1050" s="140"/>
      <c r="B1050" s="140"/>
      <c r="C1050" s="140"/>
      <c r="D1050" s="140"/>
      <c r="E1050" s="140"/>
      <c r="F1050" s="140"/>
      <c r="J1050" s="140"/>
      <c r="K1050" s="140"/>
      <c r="L1050" s="140"/>
      <c r="M1050" s="140"/>
      <c r="N1050" s="140"/>
    </row>
    <row r="1051" ht="15.75" customHeight="1">
      <c r="A1051" s="140"/>
      <c r="B1051" s="140"/>
      <c r="C1051" s="140"/>
      <c r="D1051" s="140"/>
      <c r="E1051" s="140"/>
      <c r="F1051" s="140"/>
      <c r="J1051" s="140"/>
      <c r="K1051" s="140"/>
      <c r="L1051" s="140"/>
      <c r="M1051" s="140"/>
      <c r="N1051" s="140"/>
    </row>
    <row r="1052" ht="15.75" customHeight="1">
      <c r="A1052" s="140"/>
      <c r="B1052" s="140"/>
      <c r="C1052" s="140"/>
      <c r="D1052" s="140"/>
      <c r="E1052" s="140"/>
      <c r="F1052" s="140"/>
      <c r="J1052" s="140"/>
      <c r="K1052" s="140"/>
      <c r="L1052" s="140"/>
      <c r="M1052" s="140"/>
      <c r="N1052" s="140"/>
    </row>
    <row r="1053" ht="15.75" customHeight="1">
      <c r="A1053" s="140"/>
      <c r="B1053" s="140"/>
      <c r="C1053" s="140"/>
      <c r="D1053" s="140"/>
      <c r="E1053" s="140"/>
      <c r="F1053" s="140"/>
      <c r="J1053" s="140"/>
      <c r="K1053" s="140"/>
      <c r="L1053" s="140"/>
      <c r="M1053" s="140"/>
      <c r="N1053" s="140"/>
    </row>
    <row r="1054" ht="15.75" customHeight="1">
      <c r="A1054" s="140"/>
      <c r="B1054" s="140"/>
      <c r="C1054" s="140"/>
      <c r="D1054" s="140"/>
      <c r="E1054" s="140"/>
      <c r="F1054" s="140"/>
      <c r="J1054" s="140"/>
      <c r="K1054" s="140"/>
      <c r="L1054" s="140"/>
      <c r="M1054" s="140"/>
      <c r="N1054" s="140"/>
    </row>
    <row r="1055" ht="15.75" customHeight="1">
      <c r="A1055" s="140"/>
      <c r="B1055" s="140"/>
      <c r="C1055" s="140"/>
      <c r="D1055" s="140"/>
      <c r="E1055" s="140"/>
      <c r="F1055" s="140"/>
      <c r="J1055" s="140"/>
      <c r="K1055" s="140"/>
      <c r="L1055" s="140"/>
      <c r="M1055" s="140"/>
      <c r="N1055" s="140"/>
    </row>
    <row r="1056" ht="15.75" customHeight="1">
      <c r="A1056" s="140"/>
      <c r="B1056" s="140"/>
      <c r="C1056" s="140"/>
      <c r="D1056" s="140"/>
      <c r="E1056" s="140"/>
      <c r="F1056" s="140"/>
      <c r="J1056" s="140"/>
      <c r="K1056" s="140"/>
      <c r="L1056" s="140"/>
      <c r="M1056" s="140"/>
      <c r="N1056" s="140"/>
    </row>
    <row r="1057" ht="15.75" customHeight="1">
      <c r="A1057" s="140"/>
      <c r="B1057" s="140"/>
      <c r="C1057" s="140"/>
      <c r="D1057" s="140"/>
      <c r="E1057" s="140"/>
      <c r="F1057" s="140"/>
      <c r="J1057" s="140"/>
      <c r="K1057" s="140"/>
      <c r="L1057" s="140"/>
      <c r="M1057" s="140"/>
      <c r="N1057" s="140"/>
    </row>
    <row r="1058" ht="15.75" customHeight="1">
      <c r="A1058" s="140"/>
      <c r="B1058" s="140"/>
      <c r="C1058" s="140"/>
      <c r="D1058" s="140"/>
      <c r="E1058" s="140"/>
      <c r="F1058" s="140"/>
      <c r="J1058" s="140"/>
      <c r="K1058" s="140"/>
      <c r="L1058" s="140"/>
      <c r="M1058" s="140"/>
      <c r="N1058" s="140"/>
    </row>
    <row r="1059" ht="15.75" customHeight="1">
      <c r="A1059" s="140"/>
      <c r="B1059" s="140"/>
      <c r="C1059" s="140"/>
      <c r="D1059" s="140"/>
      <c r="E1059" s="140"/>
      <c r="F1059" s="140"/>
      <c r="J1059" s="140"/>
      <c r="K1059" s="140"/>
      <c r="L1059" s="140"/>
      <c r="M1059" s="140"/>
      <c r="N1059" s="140"/>
    </row>
    <row r="1060" ht="15.75" customHeight="1">
      <c r="A1060" s="140"/>
      <c r="B1060" s="140"/>
      <c r="C1060" s="140"/>
      <c r="D1060" s="140"/>
      <c r="E1060" s="140"/>
      <c r="F1060" s="140"/>
      <c r="J1060" s="140"/>
      <c r="K1060" s="140"/>
      <c r="L1060" s="140"/>
      <c r="M1060" s="140"/>
      <c r="N1060" s="140"/>
    </row>
    <row r="1061" ht="15.75" customHeight="1">
      <c r="A1061" s="140"/>
      <c r="B1061" s="140"/>
      <c r="C1061" s="140"/>
      <c r="D1061" s="140"/>
      <c r="E1061" s="140"/>
      <c r="F1061" s="140"/>
      <c r="J1061" s="140"/>
      <c r="K1061" s="140"/>
      <c r="L1061" s="140"/>
      <c r="M1061" s="140"/>
      <c r="N1061" s="140"/>
    </row>
    <row r="1062" ht="15.75" customHeight="1">
      <c r="A1062" s="140"/>
      <c r="B1062" s="140"/>
      <c r="C1062" s="140"/>
      <c r="D1062" s="140"/>
      <c r="E1062" s="140"/>
      <c r="F1062" s="140"/>
      <c r="J1062" s="140"/>
      <c r="K1062" s="140"/>
      <c r="L1062" s="140"/>
      <c r="M1062" s="140"/>
      <c r="N1062" s="140"/>
    </row>
    <row r="1063" ht="15.75" customHeight="1">
      <c r="A1063" s="140"/>
      <c r="B1063" s="140"/>
      <c r="C1063" s="140"/>
      <c r="D1063" s="140"/>
      <c r="E1063" s="140"/>
      <c r="F1063" s="140"/>
      <c r="J1063" s="140"/>
      <c r="K1063" s="140"/>
      <c r="L1063" s="140"/>
      <c r="M1063" s="140"/>
      <c r="N1063" s="140"/>
    </row>
    <row r="1064" ht="15.75" customHeight="1">
      <c r="A1064" s="140"/>
      <c r="B1064" s="140"/>
      <c r="C1064" s="140"/>
      <c r="D1064" s="140"/>
      <c r="E1064" s="140"/>
      <c r="F1064" s="140"/>
      <c r="J1064" s="140"/>
      <c r="K1064" s="140"/>
      <c r="L1064" s="140"/>
      <c r="M1064" s="140"/>
      <c r="N1064" s="140"/>
    </row>
    <row r="1065" ht="15.75" customHeight="1">
      <c r="A1065" s="140"/>
      <c r="B1065" s="140"/>
      <c r="C1065" s="140"/>
      <c r="D1065" s="140"/>
      <c r="E1065" s="140"/>
      <c r="F1065" s="140"/>
      <c r="J1065" s="140"/>
      <c r="K1065" s="140"/>
      <c r="L1065" s="140"/>
      <c r="M1065" s="140"/>
      <c r="N1065" s="140"/>
    </row>
    <row r="1066" ht="15.75" customHeight="1">
      <c r="A1066" s="140"/>
      <c r="B1066" s="140"/>
      <c r="C1066" s="140"/>
      <c r="D1066" s="140"/>
      <c r="E1066" s="140"/>
      <c r="F1066" s="140"/>
      <c r="J1066" s="140"/>
      <c r="K1066" s="140"/>
      <c r="L1066" s="140"/>
      <c r="M1066" s="140"/>
      <c r="N1066" s="140"/>
    </row>
    <row r="1067" ht="15.75" customHeight="1">
      <c r="A1067" s="140"/>
      <c r="B1067" s="140"/>
      <c r="C1067" s="140"/>
      <c r="D1067" s="140"/>
      <c r="E1067" s="140"/>
      <c r="F1067" s="140"/>
      <c r="J1067" s="140"/>
      <c r="K1067" s="140"/>
      <c r="L1067" s="140"/>
      <c r="M1067" s="140"/>
      <c r="N1067" s="140"/>
    </row>
    <row r="1068" ht="15.75" customHeight="1">
      <c r="A1068" s="140"/>
      <c r="B1068" s="140"/>
      <c r="C1068" s="140"/>
      <c r="D1068" s="140"/>
      <c r="E1068" s="140"/>
      <c r="F1068" s="140"/>
      <c r="J1068" s="140"/>
      <c r="K1068" s="140"/>
      <c r="L1068" s="140"/>
      <c r="M1068" s="140"/>
      <c r="N1068" s="140"/>
    </row>
    <row r="1069" ht="15.75" customHeight="1">
      <c r="A1069" s="140"/>
      <c r="B1069" s="140"/>
      <c r="C1069" s="140"/>
      <c r="D1069" s="140"/>
      <c r="E1069" s="140"/>
      <c r="F1069" s="140"/>
      <c r="J1069" s="140"/>
      <c r="K1069" s="140"/>
      <c r="L1069" s="140"/>
      <c r="M1069" s="140"/>
      <c r="N1069" s="140"/>
    </row>
    <row r="1070" ht="15.75" customHeight="1">
      <c r="A1070" s="140"/>
      <c r="B1070" s="140"/>
      <c r="C1070" s="140"/>
      <c r="D1070" s="140"/>
      <c r="E1070" s="140"/>
      <c r="F1070" s="140"/>
      <c r="J1070" s="140"/>
      <c r="K1070" s="140"/>
      <c r="L1070" s="140"/>
      <c r="M1070" s="140"/>
      <c r="N1070" s="140"/>
    </row>
    <row r="1071" ht="15.75" customHeight="1">
      <c r="A1071" s="140"/>
      <c r="B1071" s="140"/>
      <c r="C1071" s="140"/>
      <c r="D1071" s="140"/>
      <c r="E1071" s="140"/>
      <c r="F1071" s="140"/>
      <c r="J1071" s="140"/>
      <c r="K1071" s="140"/>
      <c r="L1071" s="140"/>
      <c r="M1071" s="140"/>
      <c r="N1071" s="140"/>
    </row>
    <row r="1072" ht="15.75" customHeight="1">
      <c r="A1072" s="140"/>
      <c r="B1072" s="140"/>
      <c r="C1072" s="140"/>
      <c r="D1072" s="140"/>
      <c r="E1072" s="140"/>
      <c r="F1072" s="140"/>
      <c r="J1072" s="140"/>
      <c r="K1072" s="140"/>
      <c r="L1072" s="140"/>
      <c r="M1072" s="140"/>
      <c r="N1072" s="140"/>
    </row>
    <row r="1073" ht="15.75" customHeight="1">
      <c r="A1073" s="140"/>
      <c r="B1073" s="140"/>
      <c r="C1073" s="140"/>
      <c r="D1073" s="140"/>
      <c r="E1073" s="140"/>
      <c r="F1073" s="140"/>
      <c r="J1073" s="140"/>
      <c r="K1073" s="140"/>
      <c r="L1073" s="140"/>
      <c r="M1073" s="140"/>
      <c r="N1073" s="140"/>
    </row>
    <row r="1074" ht="15.75" customHeight="1">
      <c r="A1074" s="140"/>
      <c r="B1074" s="140"/>
      <c r="C1074" s="140"/>
      <c r="D1074" s="140"/>
      <c r="E1074" s="140"/>
      <c r="F1074" s="140"/>
      <c r="J1074" s="140"/>
      <c r="K1074" s="140"/>
      <c r="L1074" s="140"/>
      <c r="M1074" s="140"/>
      <c r="N1074" s="140"/>
    </row>
    <row r="1075" ht="15.75" customHeight="1">
      <c r="A1075" s="140"/>
      <c r="B1075" s="140"/>
      <c r="C1075" s="140"/>
      <c r="D1075" s="140"/>
      <c r="E1075" s="140"/>
      <c r="F1075" s="140"/>
      <c r="J1075" s="140"/>
      <c r="K1075" s="140"/>
      <c r="L1075" s="140"/>
      <c r="M1075" s="140"/>
      <c r="N1075" s="140"/>
    </row>
    <row r="1076" ht="15.75" customHeight="1">
      <c r="A1076" s="140"/>
      <c r="B1076" s="140"/>
      <c r="C1076" s="140"/>
      <c r="D1076" s="140"/>
      <c r="E1076" s="140"/>
      <c r="F1076" s="140"/>
      <c r="J1076" s="140"/>
      <c r="K1076" s="140"/>
      <c r="L1076" s="140"/>
      <c r="M1076" s="140"/>
      <c r="N1076" s="140"/>
    </row>
    <row r="1077" ht="15.75" customHeight="1">
      <c r="A1077" s="140"/>
      <c r="B1077" s="140"/>
      <c r="C1077" s="140"/>
      <c r="D1077" s="140"/>
      <c r="E1077" s="140"/>
      <c r="F1077" s="140"/>
      <c r="J1077" s="140"/>
      <c r="K1077" s="140"/>
      <c r="L1077" s="140"/>
      <c r="M1077" s="140"/>
      <c r="N1077" s="140"/>
    </row>
    <row r="1078" ht="15.75" customHeight="1">
      <c r="A1078" s="140"/>
      <c r="B1078" s="140"/>
      <c r="C1078" s="140"/>
      <c r="D1078" s="140"/>
      <c r="E1078" s="140"/>
      <c r="F1078" s="140"/>
      <c r="J1078" s="140"/>
      <c r="K1078" s="140"/>
      <c r="L1078" s="140"/>
      <c r="M1078" s="140"/>
      <c r="N1078" s="140"/>
    </row>
    <row r="1079" ht="15.75" customHeight="1">
      <c r="A1079" s="140"/>
      <c r="B1079" s="140"/>
      <c r="C1079" s="140"/>
      <c r="D1079" s="140"/>
      <c r="E1079" s="140"/>
      <c r="F1079" s="140"/>
      <c r="J1079" s="140"/>
      <c r="K1079" s="140"/>
      <c r="L1079" s="140"/>
      <c r="M1079" s="140"/>
      <c r="N1079" s="140"/>
    </row>
    <row r="1080" ht="15.75" customHeight="1">
      <c r="A1080" s="140"/>
      <c r="B1080" s="140"/>
      <c r="C1080" s="140"/>
      <c r="D1080" s="140"/>
      <c r="E1080" s="140"/>
      <c r="F1080" s="140"/>
      <c r="J1080" s="140"/>
      <c r="K1080" s="140"/>
      <c r="L1080" s="140"/>
      <c r="M1080" s="140"/>
      <c r="N1080" s="140"/>
    </row>
    <row r="1081" ht="15.75" customHeight="1">
      <c r="A1081" s="140"/>
      <c r="B1081" s="140"/>
      <c r="C1081" s="140"/>
      <c r="D1081" s="140"/>
      <c r="E1081" s="140"/>
      <c r="F1081" s="140"/>
      <c r="J1081" s="140"/>
      <c r="K1081" s="140"/>
      <c r="L1081" s="140"/>
      <c r="M1081" s="140"/>
      <c r="N1081" s="140"/>
    </row>
    <row r="1082" ht="15.75" customHeight="1">
      <c r="A1082" s="140"/>
      <c r="B1082" s="140"/>
      <c r="C1082" s="140"/>
      <c r="D1082" s="140"/>
      <c r="E1082" s="140"/>
      <c r="F1082" s="140"/>
      <c r="J1082" s="140"/>
      <c r="K1082" s="140"/>
      <c r="L1082" s="140"/>
      <c r="M1082" s="140"/>
      <c r="N1082" s="140"/>
    </row>
    <row r="1083" ht="15.75" customHeight="1">
      <c r="A1083" s="140"/>
      <c r="B1083" s="140"/>
      <c r="C1083" s="140"/>
      <c r="D1083" s="140"/>
      <c r="E1083" s="140"/>
      <c r="F1083" s="140"/>
      <c r="J1083" s="140"/>
      <c r="K1083" s="140"/>
      <c r="L1083" s="140"/>
      <c r="M1083" s="140"/>
      <c r="N1083" s="140"/>
    </row>
    <row r="1084" ht="15.75" customHeight="1">
      <c r="A1084" s="140"/>
      <c r="B1084" s="140"/>
      <c r="C1084" s="140"/>
      <c r="D1084" s="140"/>
      <c r="E1084" s="140"/>
      <c r="F1084" s="140"/>
      <c r="J1084" s="140"/>
      <c r="K1084" s="140"/>
      <c r="L1084" s="140"/>
      <c r="M1084" s="140"/>
      <c r="N1084" s="140"/>
    </row>
    <row r="1085" ht="15.75" customHeight="1">
      <c r="A1085" s="140"/>
      <c r="B1085" s="140"/>
      <c r="C1085" s="140"/>
      <c r="D1085" s="140"/>
      <c r="E1085" s="140"/>
      <c r="F1085" s="140"/>
      <c r="J1085" s="140"/>
      <c r="K1085" s="140"/>
      <c r="L1085" s="140"/>
      <c r="M1085" s="140"/>
      <c r="N1085" s="140"/>
    </row>
    <row r="1086" ht="15.75" customHeight="1">
      <c r="A1086" s="140"/>
      <c r="B1086" s="140"/>
      <c r="C1086" s="140"/>
      <c r="D1086" s="140"/>
      <c r="E1086" s="140"/>
      <c r="F1086" s="140"/>
      <c r="J1086" s="140"/>
      <c r="K1086" s="140"/>
      <c r="L1086" s="140"/>
      <c r="M1086" s="140"/>
      <c r="N1086" s="140"/>
    </row>
    <row r="1087" ht="15.75" customHeight="1">
      <c r="A1087" s="140"/>
      <c r="B1087" s="140"/>
      <c r="C1087" s="140"/>
      <c r="D1087" s="140"/>
      <c r="E1087" s="140"/>
      <c r="F1087" s="140"/>
      <c r="J1087" s="140"/>
      <c r="K1087" s="140"/>
      <c r="L1087" s="140"/>
      <c r="M1087" s="140"/>
      <c r="N1087" s="140"/>
    </row>
    <row r="1088" ht="15.75" customHeight="1">
      <c r="A1088" s="140"/>
      <c r="B1088" s="140"/>
      <c r="C1088" s="140"/>
      <c r="D1088" s="140"/>
      <c r="E1088" s="140"/>
      <c r="F1088" s="140"/>
      <c r="J1088" s="140"/>
      <c r="K1088" s="140"/>
      <c r="L1088" s="140"/>
      <c r="M1088" s="140"/>
      <c r="N1088" s="140"/>
    </row>
    <row r="1089" ht="15.75" customHeight="1">
      <c r="A1089" s="140"/>
      <c r="B1089" s="140"/>
      <c r="C1089" s="140"/>
      <c r="D1089" s="140"/>
      <c r="E1089" s="140"/>
      <c r="F1089" s="140"/>
      <c r="J1089" s="140"/>
      <c r="K1089" s="140"/>
      <c r="L1089" s="140"/>
      <c r="M1089" s="140"/>
      <c r="N1089" s="140"/>
    </row>
    <row r="1090" ht="15.75" customHeight="1">
      <c r="A1090" s="140"/>
      <c r="B1090" s="140"/>
      <c r="C1090" s="140"/>
      <c r="D1090" s="140"/>
      <c r="E1090" s="140"/>
      <c r="F1090" s="140"/>
      <c r="J1090" s="140"/>
      <c r="K1090" s="140"/>
      <c r="L1090" s="140"/>
      <c r="M1090" s="140"/>
      <c r="N1090" s="140"/>
    </row>
    <row r="1091" ht="15.75" customHeight="1">
      <c r="A1091" s="140"/>
      <c r="B1091" s="140"/>
      <c r="C1091" s="140"/>
      <c r="D1091" s="140"/>
      <c r="E1091" s="140"/>
      <c r="F1091" s="140"/>
      <c r="J1091" s="140"/>
      <c r="K1091" s="140"/>
      <c r="L1091" s="140"/>
      <c r="M1091" s="140"/>
      <c r="N1091" s="140"/>
    </row>
    <row r="1092" ht="15.75" customHeight="1">
      <c r="A1092" s="140"/>
      <c r="B1092" s="140"/>
      <c r="C1092" s="140"/>
      <c r="D1092" s="140"/>
      <c r="E1092" s="140"/>
      <c r="F1092" s="140"/>
      <c r="J1092" s="140"/>
      <c r="K1092" s="140"/>
      <c r="L1092" s="140"/>
      <c r="M1092" s="140"/>
      <c r="N1092" s="140"/>
    </row>
    <row r="1093" ht="15.75" customHeight="1">
      <c r="A1093" s="140"/>
      <c r="B1093" s="140"/>
      <c r="C1093" s="140"/>
      <c r="D1093" s="140"/>
      <c r="E1093" s="140"/>
      <c r="F1093" s="140"/>
      <c r="J1093" s="140"/>
      <c r="K1093" s="140"/>
      <c r="L1093" s="140"/>
      <c r="M1093" s="140"/>
      <c r="N1093" s="140"/>
    </row>
    <row r="1094" ht="15.75" customHeight="1">
      <c r="A1094" s="140"/>
      <c r="B1094" s="140"/>
      <c r="C1094" s="140"/>
      <c r="D1094" s="140"/>
      <c r="E1094" s="140"/>
      <c r="F1094" s="140"/>
      <c r="J1094" s="140"/>
      <c r="K1094" s="140"/>
      <c r="L1094" s="140"/>
      <c r="M1094" s="140"/>
      <c r="N1094" s="140"/>
    </row>
    <row r="1095" ht="15.75" customHeight="1">
      <c r="A1095" s="140"/>
      <c r="B1095" s="140"/>
      <c r="C1095" s="140"/>
      <c r="D1095" s="140"/>
      <c r="E1095" s="140"/>
      <c r="F1095" s="140"/>
      <c r="J1095" s="140"/>
      <c r="K1095" s="140"/>
      <c r="L1095" s="140"/>
      <c r="M1095" s="140"/>
      <c r="N1095" s="140"/>
    </row>
    <row r="1096" ht="15.75" customHeight="1">
      <c r="A1096" s="140"/>
      <c r="B1096" s="140"/>
      <c r="C1096" s="140"/>
      <c r="D1096" s="140"/>
      <c r="E1096" s="140"/>
      <c r="F1096" s="140"/>
      <c r="J1096" s="140"/>
      <c r="K1096" s="140"/>
      <c r="L1096" s="140"/>
      <c r="M1096" s="140"/>
      <c r="N1096" s="140"/>
    </row>
    <row r="1097" ht="15.75" customHeight="1">
      <c r="A1097" s="140"/>
      <c r="B1097" s="140"/>
      <c r="C1097" s="140"/>
      <c r="D1097" s="140"/>
      <c r="E1097" s="140"/>
      <c r="F1097" s="140"/>
      <c r="J1097" s="140"/>
      <c r="K1097" s="140"/>
      <c r="L1097" s="140"/>
      <c r="M1097" s="140"/>
      <c r="N1097" s="140"/>
    </row>
    <row r="1098" ht="15.75" customHeight="1">
      <c r="A1098" s="140"/>
      <c r="B1098" s="140"/>
      <c r="C1098" s="140"/>
      <c r="D1098" s="140"/>
      <c r="E1098" s="140"/>
      <c r="F1098" s="140"/>
      <c r="J1098" s="140"/>
      <c r="K1098" s="140"/>
      <c r="L1098" s="140"/>
      <c r="M1098" s="140"/>
      <c r="N1098" s="140"/>
    </row>
    <row r="1099" ht="15.75" customHeight="1">
      <c r="A1099" s="140"/>
      <c r="B1099" s="140"/>
      <c r="C1099" s="140"/>
      <c r="D1099" s="140"/>
      <c r="E1099" s="140"/>
      <c r="F1099" s="140"/>
      <c r="J1099" s="140"/>
      <c r="K1099" s="140"/>
      <c r="L1099" s="140"/>
      <c r="M1099" s="140"/>
      <c r="N1099" s="140"/>
    </row>
    <row r="1100" ht="15.75" customHeight="1">
      <c r="A1100" s="140"/>
      <c r="B1100" s="140"/>
      <c r="C1100" s="140"/>
      <c r="D1100" s="140"/>
      <c r="E1100" s="140"/>
      <c r="F1100" s="140"/>
      <c r="J1100" s="140"/>
      <c r="K1100" s="140"/>
      <c r="L1100" s="140"/>
      <c r="M1100" s="140"/>
      <c r="N1100" s="140"/>
    </row>
    <row r="1101" ht="15.75" customHeight="1">
      <c r="A1101" s="140"/>
      <c r="B1101" s="140"/>
      <c r="C1101" s="140"/>
      <c r="D1101" s="140"/>
      <c r="E1101" s="140"/>
      <c r="F1101" s="140"/>
      <c r="J1101" s="140"/>
      <c r="K1101" s="140"/>
      <c r="L1101" s="140"/>
      <c r="M1101" s="140"/>
      <c r="N1101" s="140"/>
    </row>
    <row r="1102" ht="15.75" customHeight="1">
      <c r="A1102" s="140"/>
      <c r="B1102" s="140"/>
      <c r="C1102" s="140"/>
      <c r="D1102" s="140"/>
      <c r="E1102" s="140"/>
      <c r="F1102" s="140"/>
      <c r="J1102" s="140"/>
      <c r="K1102" s="140"/>
      <c r="L1102" s="140"/>
      <c r="M1102" s="140"/>
      <c r="N1102" s="140"/>
    </row>
    <row r="1103" ht="15.75" customHeight="1">
      <c r="A1103" s="140"/>
      <c r="B1103" s="140"/>
      <c r="C1103" s="140"/>
      <c r="D1103" s="140"/>
      <c r="E1103" s="140"/>
      <c r="F1103" s="140"/>
      <c r="J1103" s="140"/>
      <c r="K1103" s="140"/>
      <c r="L1103" s="140"/>
      <c r="M1103" s="140"/>
      <c r="N1103" s="140"/>
    </row>
    <row r="1104" ht="15.75" customHeight="1">
      <c r="A1104" s="140"/>
      <c r="B1104" s="140"/>
      <c r="C1104" s="140"/>
      <c r="D1104" s="140"/>
      <c r="E1104" s="140"/>
      <c r="F1104" s="140"/>
      <c r="J1104" s="140"/>
      <c r="K1104" s="140"/>
      <c r="L1104" s="140"/>
      <c r="M1104" s="140"/>
      <c r="N1104" s="140"/>
    </row>
    <row r="1105" ht="15.75" customHeight="1">
      <c r="A1105" s="140"/>
      <c r="B1105" s="140"/>
      <c r="C1105" s="140"/>
      <c r="D1105" s="140"/>
      <c r="E1105" s="140"/>
      <c r="F1105" s="140"/>
      <c r="J1105" s="140"/>
      <c r="K1105" s="140"/>
      <c r="L1105" s="140"/>
      <c r="M1105" s="140"/>
      <c r="N1105" s="140"/>
    </row>
    <row r="1106" ht="15.75" customHeight="1">
      <c r="A1106" s="140"/>
      <c r="B1106" s="140"/>
      <c r="C1106" s="140"/>
      <c r="D1106" s="140"/>
      <c r="E1106" s="140"/>
      <c r="F1106" s="140"/>
      <c r="J1106" s="140"/>
      <c r="K1106" s="140"/>
      <c r="L1106" s="140"/>
      <c r="M1106" s="140"/>
      <c r="N1106" s="140"/>
    </row>
    <row r="1107" ht="15.75" customHeight="1">
      <c r="A1107" s="140"/>
      <c r="B1107" s="140"/>
      <c r="C1107" s="140"/>
      <c r="D1107" s="140"/>
      <c r="E1107" s="140"/>
      <c r="F1107" s="140"/>
      <c r="J1107" s="140"/>
      <c r="K1107" s="140"/>
      <c r="L1107" s="140"/>
      <c r="M1107" s="140"/>
      <c r="N1107" s="140"/>
    </row>
    <row r="1108" ht="15.75" customHeight="1">
      <c r="A1108" s="140"/>
      <c r="B1108" s="140"/>
      <c r="C1108" s="140"/>
      <c r="D1108" s="140"/>
      <c r="E1108" s="140"/>
      <c r="F1108" s="140"/>
      <c r="J1108" s="140"/>
      <c r="K1108" s="140"/>
      <c r="L1108" s="140"/>
      <c r="M1108" s="140"/>
      <c r="N1108" s="140"/>
    </row>
    <row r="1109" ht="15.75" customHeight="1">
      <c r="A1109" s="140"/>
      <c r="B1109" s="140"/>
      <c r="C1109" s="140"/>
      <c r="D1109" s="140"/>
      <c r="E1109" s="140"/>
      <c r="F1109" s="140"/>
      <c r="J1109" s="140"/>
      <c r="K1109" s="140"/>
      <c r="L1109" s="140"/>
      <c r="M1109" s="140"/>
      <c r="N1109" s="140"/>
    </row>
    <row r="1110" ht="15.75" customHeight="1">
      <c r="A1110" s="140"/>
      <c r="B1110" s="140"/>
      <c r="C1110" s="140"/>
      <c r="D1110" s="140"/>
      <c r="E1110" s="140"/>
      <c r="F1110" s="140"/>
      <c r="J1110" s="140"/>
      <c r="K1110" s="140"/>
      <c r="L1110" s="140"/>
      <c r="M1110" s="140"/>
      <c r="N1110" s="140"/>
    </row>
    <row r="1111" ht="15.75" customHeight="1">
      <c r="A1111" s="140"/>
      <c r="B1111" s="140"/>
      <c r="C1111" s="140"/>
      <c r="D1111" s="140"/>
      <c r="E1111" s="140"/>
      <c r="F1111" s="140"/>
      <c r="J1111" s="140"/>
      <c r="K1111" s="140"/>
      <c r="L1111" s="140"/>
      <c r="M1111" s="140"/>
      <c r="N1111" s="140"/>
    </row>
    <row r="1112" ht="15.75" customHeight="1">
      <c r="A1112" s="140"/>
      <c r="B1112" s="140"/>
      <c r="C1112" s="140"/>
      <c r="D1112" s="140"/>
      <c r="E1112" s="140"/>
      <c r="F1112" s="140"/>
      <c r="J1112" s="140"/>
      <c r="K1112" s="140"/>
      <c r="L1112" s="140"/>
      <c r="M1112" s="140"/>
      <c r="N1112" s="140"/>
    </row>
    <row r="1113" ht="15.75" customHeight="1">
      <c r="A1113" s="140"/>
      <c r="B1113" s="140"/>
      <c r="C1113" s="140"/>
      <c r="D1113" s="140"/>
      <c r="E1113" s="140"/>
      <c r="F1113" s="140"/>
      <c r="J1113" s="140"/>
      <c r="K1113" s="140"/>
      <c r="L1113" s="140"/>
      <c r="M1113" s="140"/>
      <c r="N1113" s="140"/>
    </row>
    <row r="1114" ht="15.75" customHeight="1">
      <c r="A1114" s="140"/>
      <c r="B1114" s="140"/>
      <c r="C1114" s="140"/>
      <c r="D1114" s="140"/>
      <c r="E1114" s="140"/>
      <c r="F1114" s="140"/>
      <c r="J1114" s="140"/>
      <c r="K1114" s="140"/>
      <c r="L1114" s="140"/>
      <c r="M1114" s="140"/>
      <c r="N1114" s="140"/>
    </row>
    <row r="1115" ht="15.75" customHeight="1">
      <c r="A1115" s="140"/>
      <c r="B1115" s="140"/>
      <c r="C1115" s="140"/>
      <c r="D1115" s="140"/>
      <c r="E1115" s="140"/>
      <c r="F1115" s="140"/>
      <c r="J1115" s="140"/>
      <c r="K1115" s="140"/>
      <c r="L1115" s="140"/>
      <c r="M1115" s="140"/>
      <c r="N1115" s="140"/>
    </row>
    <row r="1116" ht="15.75" customHeight="1">
      <c r="A1116" s="140"/>
      <c r="B1116" s="140"/>
      <c r="C1116" s="140"/>
      <c r="D1116" s="140"/>
      <c r="E1116" s="140"/>
      <c r="F1116" s="140"/>
      <c r="J1116" s="140"/>
      <c r="K1116" s="140"/>
      <c r="L1116" s="140"/>
      <c r="M1116" s="140"/>
      <c r="N1116" s="140"/>
    </row>
    <row r="1117" ht="15.75" customHeight="1">
      <c r="A1117" s="140"/>
      <c r="B1117" s="140"/>
      <c r="C1117" s="140"/>
      <c r="D1117" s="140"/>
      <c r="E1117" s="140"/>
      <c r="F1117" s="140"/>
      <c r="J1117" s="140"/>
      <c r="K1117" s="140"/>
      <c r="L1117" s="140"/>
      <c r="M1117" s="140"/>
      <c r="N1117" s="140"/>
    </row>
    <row r="1118" ht="15.75" customHeight="1">
      <c r="A1118" s="140"/>
      <c r="B1118" s="140"/>
      <c r="C1118" s="140"/>
      <c r="D1118" s="140"/>
      <c r="E1118" s="140"/>
      <c r="F1118" s="140"/>
      <c r="J1118" s="140"/>
      <c r="K1118" s="140"/>
      <c r="L1118" s="140"/>
      <c r="M1118" s="140"/>
      <c r="N1118" s="140"/>
    </row>
    <row r="1119" ht="15.75" customHeight="1">
      <c r="A1119" s="140"/>
      <c r="B1119" s="140"/>
      <c r="C1119" s="140"/>
      <c r="D1119" s="140"/>
      <c r="E1119" s="140"/>
      <c r="F1119" s="140"/>
      <c r="J1119" s="140"/>
      <c r="K1119" s="140"/>
      <c r="L1119" s="140"/>
      <c r="M1119" s="140"/>
      <c r="N1119" s="140"/>
    </row>
    <row r="1120" ht="15.75" customHeight="1">
      <c r="A1120" s="140"/>
      <c r="B1120" s="140"/>
      <c r="C1120" s="140"/>
      <c r="D1120" s="140"/>
      <c r="E1120" s="140"/>
      <c r="F1120" s="140"/>
      <c r="J1120" s="140"/>
      <c r="K1120" s="140"/>
      <c r="L1120" s="140"/>
      <c r="M1120" s="140"/>
      <c r="N1120" s="140"/>
    </row>
    <row r="1121" ht="15.75" customHeight="1">
      <c r="A1121" s="140"/>
      <c r="B1121" s="140"/>
      <c r="C1121" s="140"/>
      <c r="D1121" s="140"/>
      <c r="E1121" s="140"/>
      <c r="F1121" s="140"/>
      <c r="J1121" s="140"/>
      <c r="K1121" s="140"/>
      <c r="L1121" s="140"/>
      <c r="M1121" s="140"/>
      <c r="N1121" s="140"/>
    </row>
    <row r="1122" ht="15.75" customHeight="1">
      <c r="A1122" s="140"/>
      <c r="B1122" s="140"/>
      <c r="C1122" s="140"/>
      <c r="D1122" s="140"/>
      <c r="E1122" s="140"/>
      <c r="F1122" s="140"/>
      <c r="J1122" s="140"/>
      <c r="K1122" s="140"/>
      <c r="L1122" s="140"/>
      <c r="M1122" s="140"/>
      <c r="N1122" s="140"/>
    </row>
    <row r="1123" ht="15.75" customHeight="1">
      <c r="A1123" s="140"/>
      <c r="B1123" s="140"/>
      <c r="C1123" s="140"/>
      <c r="D1123" s="140"/>
      <c r="E1123" s="140"/>
      <c r="F1123" s="140"/>
      <c r="J1123" s="140"/>
      <c r="K1123" s="140"/>
      <c r="L1123" s="140"/>
      <c r="M1123" s="140"/>
      <c r="N1123" s="140"/>
    </row>
    <row r="1124" ht="15.75" customHeight="1">
      <c r="A1124" s="140"/>
      <c r="B1124" s="140"/>
      <c r="C1124" s="140"/>
      <c r="D1124" s="140"/>
      <c r="E1124" s="140"/>
      <c r="F1124" s="140"/>
      <c r="J1124" s="140"/>
      <c r="K1124" s="140"/>
      <c r="L1124" s="140"/>
      <c r="M1124" s="140"/>
      <c r="N1124" s="140"/>
    </row>
    <row r="1125" ht="15.75" customHeight="1">
      <c r="A1125" s="140"/>
      <c r="B1125" s="140"/>
      <c r="C1125" s="140"/>
      <c r="D1125" s="140"/>
      <c r="E1125" s="140"/>
      <c r="F1125" s="140"/>
      <c r="J1125" s="140"/>
      <c r="K1125" s="140"/>
      <c r="L1125" s="140"/>
      <c r="M1125" s="140"/>
      <c r="N1125" s="140"/>
    </row>
    <row r="1126" ht="15.75" customHeight="1">
      <c r="A1126" s="140"/>
      <c r="B1126" s="140"/>
      <c r="C1126" s="140"/>
      <c r="D1126" s="140"/>
      <c r="E1126" s="140"/>
      <c r="F1126" s="140"/>
      <c r="J1126" s="140"/>
      <c r="K1126" s="140"/>
      <c r="L1126" s="140"/>
      <c r="M1126" s="140"/>
      <c r="N1126" s="140"/>
    </row>
    <row r="1127" ht="15.75" customHeight="1">
      <c r="A1127" s="140"/>
      <c r="B1127" s="140"/>
      <c r="C1127" s="140"/>
      <c r="D1127" s="140"/>
      <c r="E1127" s="140"/>
      <c r="F1127" s="140"/>
      <c r="J1127" s="140"/>
      <c r="K1127" s="140"/>
      <c r="L1127" s="140"/>
      <c r="M1127" s="140"/>
      <c r="N1127" s="140"/>
    </row>
    <row r="1128" ht="15.75" customHeight="1">
      <c r="A1128" s="140"/>
      <c r="B1128" s="140"/>
      <c r="C1128" s="140"/>
      <c r="D1128" s="140"/>
      <c r="E1128" s="140"/>
      <c r="F1128" s="140"/>
      <c r="J1128" s="140"/>
      <c r="K1128" s="140"/>
      <c r="L1128" s="140"/>
      <c r="M1128" s="140"/>
      <c r="N1128" s="140"/>
    </row>
    <row r="1129" ht="15.75" customHeight="1">
      <c r="A1129" s="140"/>
      <c r="B1129" s="140"/>
      <c r="C1129" s="140"/>
      <c r="D1129" s="140"/>
      <c r="E1129" s="140"/>
      <c r="F1129" s="140"/>
      <c r="J1129" s="140"/>
      <c r="K1129" s="140"/>
      <c r="L1129" s="140"/>
      <c r="M1129" s="140"/>
      <c r="N1129" s="140"/>
    </row>
    <row r="1130" ht="15.75" customHeight="1">
      <c r="A1130" s="140"/>
      <c r="B1130" s="140"/>
      <c r="C1130" s="140"/>
      <c r="D1130" s="140"/>
      <c r="E1130" s="140"/>
      <c r="F1130" s="140"/>
      <c r="J1130" s="140"/>
      <c r="K1130" s="140"/>
      <c r="L1130" s="140"/>
      <c r="M1130" s="140"/>
      <c r="N1130" s="140"/>
    </row>
    <row r="1131" ht="15.75" customHeight="1">
      <c r="A1131" s="140"/>
      <c r="B1131" s="140"/>
      <c r="C1131" s="140"/>
      <c r="D1131" s="140"/>
      <c r="E1131" s="140"/>
      <c r="F1131" s="140"/>
      <c r="J1131" s="140"/>
      <c r="K1131" s="140"/>
      <c r="L1131" s="140"/>
      <c r="M1131" s="140"/>
      <c r="N1131" s="140"/>
    </row>
    <row r="1132" ht="15.75" customHeight="1">
      <c r="A1132" s="140"/>
      <c r="B1132" s="140"/>
      <c r="C1132" s="140"/>
      <c r="D1132" s="140"/>
      <c r="E1132" s="140"/>
      <c r="F1132" s="140"/>
      <c r="J1132" s="140"/>
      <c r="K1132" s="140"/>
      <c r="L1132" s="140"/>
      <c r="M1132" s="140"/>
      <c r="N1132" s="140"/>
    </row>
    <row r="1133" ht="15.75" customHeight="1">
      <c r="A1133" s="140"/>
      <c r="B1133" s="140"/>
      <c r="C1133" s="140"/>
      <c r="D1133" s="140"/>
      <c r="E1133" s="140"/>
      <c r="F1133" s="140"/>
      <c r="J1133" s="140"/>
      <c r="K1133" s="140"/>
      <c r="L1133" s="140"/>
      <c r="M1133" s="140"/>
      <c r="N1133" s="140"/>
    </row>
    <row r="1134" ht="15.75" customHeight="1">
      <c r="A1134" s="140"/>
      <c r="B1134" s="140"/>
      <c r="C1134" s="140"/>
      <c r="D1134" s="140"/>
      <c r="E1134" s="140"/>
      <c r="F1134" s="140"/>
      <c r="J1134" s="140"/>
      <c r="K1134" s="140"/>
      <c r="L1134" s="140"/>
      <c r="M1134" s="140"/>
      <c r="N1134" s="140"/>
    </row>
    <row r="1135" ht="15.75" customHeight="1">
      <c r="A1135" s="140"/>
      <c r="B1135" s="140"/>
      <c r="C1135" s="140"/>
      <c r="D1135" s="140"/>
      <c r="E1135" s="140"/>
      <c r="F1135" s="140"/>
      <c r="J1135" s="140"/>
      <c r="K1135" s="140"/>
      <c r="L1135" s="140"/>
      <c r="M1135" s="140"/>
      <c r="N1135" s="140"/>
    </row>
    <row r="1136" ht="15.75" customHeight="1">
      <c r="A1136" s="140"/>
      <c r="B1136" s="140"/>
      <c r="C1136" s="140"/>
      <c r="D1136" s="140"/>
      <c r="E1136" s="140"/>
      <c r="F1136" s="140"/>
      <c r="J1136" s="140"/>
      <c r="K1136" s="140"/>
      <c r="L1136" s="140"/>
      <c r="M1136" s="140"/>
      <c r="N1136" s="140"/>
    </row>
    <row r="1137" ht="15.75" customHeight="1">
      <c r="A1137" s="140"/>
      <c r="B1137" s="140"/>
      <c r="C1137" s="140"/>
      <c r="D1137" s="140"/>
      <c r="E1137" s="140"/>
      <c r="F1137" s="140"/>
      <c r="J1137" s="140"/>
      <c r="K1137" s="140"/>
      <c r="L1137" s="140"/>
      <c r="M1137" s="140"/>
      <c r="N1137" s="140"/>
    </row>
    <row r="1138" ht="15.75" customHeight="1">
      <c r="A1138" s="140"/>
      <c r="B1138" s="140"/>
      <c r="C1138" s="140"/>
      <c r="D1138" s="140"/>
      <c r="E1138" s="140"/>
      <c r="F1138" s="140"/>
      <c r="J1138" s="140"/>
      <c r="K1138" s="140"/>
      <c r="L1138" s="140"/>
      <c r="M1138" s="140"/>
      <c r="N1138" s="140"/>
    </row>
    <row r="1139" ht="15.75" customHeight="1">
      <c r="A1139" s="140"/>
      <c r="B1139" s="140"/>
      <c r="C1139" s="140"/>
      <c r="D1139" s="140"/>
      <c r="E1139" s="140"/>
      <c r="F1139" s="140"/>
      <c r="J1139" s="140"/>
      <c r="K1139" s="140"/>
      <c r="L1139" s="140"/>
      <c r="M1139" s="140"/>
      <c r="N1139" s="140"/>
    </row>
    <row r="1140" ht="15.75" customHeight="1">
      <c r="A1140" s="140"/>
      <c r="B1140" s="140"/>
      <c r="C1140" s="140"/>
      <c r="D1140" s="140"/>
      <c r="E1140" s="140"/>
      <c r="F1140" s="140"/>
      <c r="J1140" s="140"/>
      <c r="K1140" s="140"/>
      <c r="L1140" s="140"/>
      <c r="M1140" s="140"/>
      <c r="N1140" s="140"/>
    </row>
    <row r="1141" ht="15.75" customHeight="1">
      <c r="A1141" s="140"/>
      <c r="B1141" s="140"/>
      <c r="C1141" s="140"/>
      <c r="D1141" s="140"/>
      <c r="E1141" s="140"/>
      <c r="F1141" s="140"/>
      <c r="J1141" s="140"/>
      <c r="K1141" s="140"/>
      <c r="L1141" s="140"/>
      <c r="M1141" s="140"/>
      <c r="N1141" s="140"/>
    </row>
    <row r="1142" ht="15.75" customHeight="1">
      <c r="A1142" s="140"/>
      <c r="B1142" s="140"/>
      <c r="C1142" s="140"/>
      <c r="D1142" s="140"/>
      <c r="E1142" s="140"/>
      <c r="F1142" s="140"/>
      <c r="J1142" s="140"/>
      <c r="K1142" s="140"/>
      <c r="L1142" s="140"/>
      <c r="M1142" s="140"/>
      <c r="N1142" s="140"/>
    </row>
    <row r="1143" ht="15.75" customHeight="1">
      <c r="A1143" s="140"/>
      <c r="B1143" s="140"/>
      <c r="C1143" s="140"/>
      <c r="D1143" s="140"/>
      <c r="E1143" s="140"/>
      <c r="F1143" s="140"/>
      <c r="J1143" s="140"/>
      <c r="K1143" s="140"/>
      <c r="L1143" s="140"/>
      <c r="M1143" s="140"/>
      <c r="N1143" s="140"/>
    </row>
    <row r="1144" ht="15.75" customHeight="1">
      <c r="A1144" s="140"/>
      <c r="B1144" s="140"/>
      <c r="C1144" s="140"/>
      <c r="D1144" s="140"/>
      <c r="E1144" s="140"/>
      <c r="F1144" s="140"/>
      <c r="J1144" s="140"/>
      <c r="K1144" s="140"/>
      <c r="L1144" s="140"/>
      <c r="M1144" s="140"/>
      <c r="N1144" s="140"/>
    </row>
    <row r="1145" ht="15.75" customHeight="1">
      <c r="A1145" s="140"/>
      <c r="B1145" s="140"/>
      <c r="C1145" s="140"/>
      <c r="D1145" s="140"/>
      <c r="E1145" s="140"/>
      <c r="F1145" s="140"/>
      <c r="J1145" s="140"/>
      <c r="K1145" s="140"/>
      <c r="L1145" s="140"/>
      <c r="M1145" s="140"/>
      <c r="N1145" s="140"/>
    </row>
    <row r="1146" ht="15.75" customHeight="1">
      <c r="A1146" s="140"/>
      <c r="B1146" s="140"/>
      <c r="C1146" s="140"/>
      <c r="D1146" s="140"/>
      <c r="E1146" s="140"/>
      <c r="F1146" s="140"/>
      <c r="J1146" s="140"/>
      <c r="K1146" s="140"/>
      <c r="L1146" s="140"/>
      <c r="M1146" s="140"/>
      <c r="N1146" s="140"/>
    </row>
    <row r="1147" ht="15.75" customHeight="1">
      <c r="A1147" s="140"/>
      <c r="B1147" s="140"/>
      <c r="C1147" s="140"/>
      <c r="D1147" s="140"/>
      <c r="E1147" s="140"/>
      <c r="F1147" s="140"/>
      <c r="J1147" s="140"/>
      <c r="K1147" s="140"/>
      <c r="L1147" s="140"/>
      <c r="M1147" s="140"/>
      <c r="N1147" s="140"/>
    </row>
    <row r="1148" ht="15.75" customHeight="1">
      <c r="A1148" s="140"/>
      <c r="B1148" s="140"/>
      <c r="C1148" s="140"/>
      <c r="D1148" s="140"/>
      <c r="E1148" s="140"/>
      <c r="F1148" s="140"/>
      <c r="J1148" s="140"/>
      <c r="K1148" s="140"/>
      <c r="L1148" s="140"/>
      <c r="M1148" s="140"/>
      <c r="N1148" s="140"/>
    </row>
    <row r="1149" ht="15.75" customHeight="1">
      <c r="A1149" s="140"/>
      <c r="B1149" s="140"/>
      <c r="C1149" s="140"/>
      <c r="D1149" s="140"/>
      <c r="E1149" s="140"/>
      <c r="F1149" s="140"/>
      <c r="J1149" s="140"/>
      <c r="K1149" s="140"/>
      <c r="L1149" s="140"/>
      <c r="M1149" s="140"/>
      <c r="N1149" s="140"/>
    </row>
    <row r="1150" ht="15.75" customHeight="1">
      <c r="A1150" s="140"/>
      <c r="B1150" s="140"/>
      <c r="C1150" s="140"/>
      <c r="D1150" s="140"/>
      <c r="E1150" s="140"/>
      <c r="F1150" s="140"/>
      <c r="J1150" s="140"/>
      <c r="K1150" s="140"/>
      <c r="L1150" s="140"/>
      <c r="M1150" s="140"/>
      <c r="N1150" s="140"/>
    </row>
    <row r="1151" ht="15.75" customHeight="1">
      <c r="A1151" s="140"/>
      <c r="B1151" s="140"/>
      <c r="C1151" s="140"/>
      <c r="D1151" s="140"/>
      <c r="E1151" s="140"/>
      <c r="F1151" s="140"/>
      <c r="J1151" s="140"/>
      <c r="K1151" s="140"/>
      <c r="L1151" s="140"/>
      <c r="M1151" s="140"/>
      <c r="N1151" s="140"/>
    </row>
    <row r="1152" ht="15.75" customHeight="1">
      <c r="A1152" s="140"/>
      <c r="B1152" s="140"/>
      <c r="C1152" s="140"/>
      <c r="D1152" s="140"/>
      <c r="E1152" s="140"/>
      <c r="F1152" s="140"/>
      <c r="J1152" s="140"/>
      <c r="K1152" s="140"/>
      <c r="L1152" s="140"/>
      <c r="M1152" s="140"/>
      <c r="N1152" s="140"/>
    </row>
    <row r="1153" ht="15.75" customHeight="1">
      <c r="A1153" s="140"/>
      <c r="B1153" s="140"/>
      <c r="C1153" s="140"/>
      <c r="D1153" s="140"/>
      <c r="E1153" s="140"/>
      <c r="F1153" s="140"/>
      <c r="J1153" s="140"/>
      <c r="K1153" s="140"/>
      <c r="L1153" s="140"/>
      <c r="M1153" s="140"/>
      <c r="N1153" s="140"/>
    </row>
    <row r="1154" ht="15.75" customHeight="1">
      <c r="A1154" s="140"/>
      <c r="B1154" s="140"/>
      <c r="C1154" s="140"/>
      <c r="D1154" s="140"/>
      <c r="E1154" s="140"/>
      <c r="F1154" s="140"/>
      <c r="J1154" s="140"/>
      <c r="K1154" s="140"/>
      <c r="L1154" s="140"/>
      <c r="M1154" s="140"/>
      <c r="N1154" s="140"/>
    </row>
    <row r="1155" ht="15.75" customHeight="1">
      <c r="A1155" s="140"/>
      <c r="B1155" s="140"/>
      <c r="C1155" s="140"/>
      <c r="D1155" s="140"/>
      <c r="E1155" s="140"/>
      <c r="F1155" s="140"/>
      <c r="J1155" s="140"/>
      <c r="K1155" s="140"/>
      <c r="L1155" s="140"/>
      <c r="M1155" s="140"/>
      <c r="N1155" s="140"/>
    </row>
    <row r="1156" ht="15.75" customHeight="1">
      <c r="A1156" s="140"/>
      <c r="B1156" s="140"/>
      <c r="C1156" s="140"/>
      <c r="D1156" s="140"/>
      <c r="E1156" s="140"/>
      <c r="F1156" s="140"/>
      <c r="J1156" s="140"/>
      <c r="K1156" s="140"/>
      <c r="L1156" s="140"/>
      <c r="M1156" s="140"/>
      <c r="N1156" s="140"/>
    </row>
    <row r="1157" ht="15.75" customHeight="1">
      <c r="A1157" s="140"/>
      <c r="B1157" s="140"/>
      <c r="C1157" s="140"/>
      <c r="D1157" s="140"/>
      <c r="E1157" s="140"/>
      <c r="F1157" s="140"/>
      <c r="J1157" s="140"/>
      <c r="K1157" s="140"/>
      <c r="L1157" s="140"/>
      <c r="M1157" s="140"/>
      <c r="N1157" s="140"/>
    </row>
    <row r="1158" ht="15.75" customHeight="1">
      <c r="A1158" s="140"/>
      <c r="B1158" s="140"/>
      <c r="C1158" s="140"/>
      <c r="D1158" s="140"/>
      <c r="E1158" s="140"/>
      <c r="F1158" s="140"/>
      <c r="J1158" s="140"/>
      <c r="K1158" s="140"/>
      <c r="L1158" s="140"/>
      <c r="M1158" s="140"/>
      <c r="N1158" s="140"/>
    </row>
    <row r="1159" ht="15.75" customHeight="1">
      <c r="A1159" s="140"/>
      <c r="B1159" s="140"/>
      <c r="C1159" s="140"/>
      <c r="D1159" s="140"/>
      <c r="E1159" s="140"/>
      <c r="F1159" s="140"/>
      <c r="J1159" s="140"/>
      <c r="K1159" s="140"/>
      <c r="L1159" s="140"/>
      <c r="M1159" s="140"/>
      <c r="N1159" s="140"/>
    </row>
    <row r="1160" ht="15.75" customHeight="1">
      <c r="A1160" s="140"/>
      <c r="B1160" s="140"/>
      <c r="C1160" s="140"/>
      <c r="D1160" s="140"/>
      <c r="E1160" s="140"/>
      <c r="F1160" s="140"/>
      <c r="J1160" s="140"/>
      <c r="K1160" s="140"/>
      <c r="L1160" s="140"/>
      <c r="M1160" s="140"/>
      <c r="N1160" s="140"/>
    </row>
    <row r="1161" ht="15.75" customHeight="1">
      <c r="A1161" s="140"/>
      <c r="B1161" s="140"/>
      <c r="C1161" s="140"/>
      <c r="D1161" s="140"/>
      <c r="E1161" s="140"/>
      <c r="F1161" s="140"/>
      <c r="J1161" s="140"/>
      <c r="K1161" s="140"/>
      <c r="L1161" s="140"/>
      <c r="M1161" s="140"/>
      <c r="N1161" s="140"/>
    </row>
    <row r="1162" ht="15.75" customHeight="1">
      <c r="A1162" s="140"/>
      <c r="B1162" s="140"/>
      <c r="C1162" s="140"/>
      <c r="D1162" s="140"/>
      <c r="E1162" s="140"/>
      <c r="F1162" s="140"/>
      <c r="J1162" s="140"/>
      <c r="K1162" s="140"/>
      <c r="L1162" s="140"/>
      <c r="M1162" s="140"/>
      <c r="N1162" s="140"/>
    </row>
    <row r="1163" ht="15.75" customHeight="1">
      <c r="A1163" s="140"/>
      <c r="B1163" s="140"/>
      <c r="C1163" s="140"/>
      <c r="D1163" s="140"/>
      <c r="E1163" s="140"/>
      <c r="F1163" s="140"/>
      <c r="J1163" s="140"/>
      <c r="K1163" s="140"/>
      <c r="L1163" s="140"/>
      <c r="M1163" s="140"/>
      <c r="N1163" s="140"/>
    </row>
    <row r="1164" ht="15.75" customHeight="1">
      <c r="A1164" s="140"/>
      <c r="B1164" s="140"/>
      <c r="C1164" s="140"/>
      <c r="D1164" s="140"/>
      <c r="E1164" s="140"/>
      <c r="F1164" s="140"/>
      <c r="J1164" s="140"/>
      <c r="K1164" s="140"/>
      <c r="L1164" s="140"/>
      <c r="M1164" s="140"/>
      <c r="N1164" s="140"/>
    </row>
    <row r="1165" ht="15.75" customHeight="1">
      <c r="A1165" s="140"/>
      <c r="B1165" s="140"/>
      <c r="C1165" s="140"/>
      <c r="D1165" s="140"/>
      <c r="E1165" s="140"/>
      <c r="F1165" s="140"/>
      <c r="J1165" s="140"/>
      <c r="K1165" s="140"/>
      <c r="L1165" s="140"/>
      <c r="M1165" s="140"/>
      <c r="N1165" s="140"/>
    </row>
    <row r="1166" ht="15.75" customHeight="1">
      <c r="A1166" s="140"/>
      <c r="B1166" s="140"/>
      <c r="C1166" s="140"/>
      <c r="D1166" s="140"/>
      <c r="E1166" s="140"/>
      <c r="F1166" s="140"/>
      <c r="J1166" s="140"/>
      <c r="K1166" s="140"/>
      <c r="L1166" s="140"/>
      <c r="M1166" s="140"/>
      <c r="N1166" s="140"/>
    </row>
    <row r="1167" ht="15.75" customHeight="1">
      <c r="A1167" s="140"/>
      <c r="B1167" s="140"/>
      <c r="C1167" s="140"/>
      <c r="D1167" s="140"/>
      <c r="E1167" s="140"/>
      <c r="F1167" s="140"/>
      <c r="J1167" s="140"/>
      <c r="K1167" s="140"/>
      <c r="L1167" s="140"/>
      <c r="M1167" s="140"/>
      <c r="N1167" s="140"/>
    </row>
    <row r="1168" ht="15.75" customHeight="1">
      <c r="A1168" s="140"/>
      <c r="B1168" s="140"/>
      <c r="C1168" s="140"/>
      <c r="D1168" s="140"/>
      <c r="E1168" s="140"/>
      <c r="F1168" s="140"/>
      <c r="J1168" s="140"/>
      <c r="K1168" s="140"/>
      <c r="L1168" s="140"/>
      <c r="M1168" s="140"/>
      <c r="N1168" s="140"/>
    </row>
    <row r="1169" ht="15.75" customHeight="1">
      <c r="A1169" s="140"/>
      <c r="B1169" s="140"/>
      <c r="C1169" s="140"/>
      <c r="D1169" s="140"/>
      <c r="E1169" s="140"/>
      <c r="F1169" s="140"/>
      <c r="J1169" s="140"/>
      <c r="K1169" s="140"/>
      <c r="L1169" s="140"/>
      <c r="M1169" s="140"/>
      <c r="N1169" s="140"/>
    </row>
    <row r="1170" ht="15.75" customHeight="1">
      <c r="A1170" s="140"/>
      <c r="B1170" s="140"/>
      <c r="C1170" s="140"/>
      <c r="D1170" s="140"/>
      <c r="E1170" s="140"/>
      <c r="F1170" s="140"/>
      <c r="J1170" s="140"/>
      <c r="K1170" s="140"/>
      <c r="L1170" s="140"/>
      <c r="M1170" s="140"/>
      <c r="N1170" s="140"/>
    </row>
    <row r="1171" ht="15.75" customHeight="1">
      <c r="A1171" s="140"/>
      <c r="B1171" s="140"/>
      <c r="C1171" s="140"/>
      <c r="D1171" s="140"/>
      <c r="E1171" s="140"/>
      <c r="F1171" s="140"/>
      <c r="J1171" s="140"/>
      <c r="K1171" s="140"/>
      <c r="L1171" s="140"/>
      <c r="M1171" s="140"/>
      <c r="N1171" s="140"/>
    </row>
    <row r="1172" ht="15.75" customHeight="1">
      <c r="A1172" s="140"/>
      <c r="B1172" s="140"/>
      <c r="C1172" s="140"/>
      <c r="D1172" s="140"/>
      <c r="E1172" s="140"/>
      <c r="F1172" s="140"/>
      <c r="J1172" s="140"/>
      <c r="K1172" s="140"/>
      <c r="L1172" s="140"/>
      <c r="M1172" s="140"/>
      <c r="N1172" s="140"/>
    </row>
    <row r="1173" ht="15.75" customHeight="1">
      <c r="A1173" s="140"/>
      <c r="B1173" s="140"/>
      <c r="C1173" s="140"/>
      <c r="D1173" s="140"/>
      <c r="E1173" s="140"/>
      <c r="F1173" s="140"/>
      <c r="J1173" s="140"/>
      <c r="K1173" s="140"/>
      <c r="L1173" s="140"/>
      <c r="M1173" s="140"/>
      <c r="N1173" s="140"/>
    </row>
    <row r="1174" ht="15.75" customHeight="1">
      <c r="A1174" s="140"/>
      <c r="B1174" s="140"/>
      <c r="C1174" s="140"/>
      <c r="D1174" s="140"/>
      <c r="E1174" s="140"/>
      <c r="F1174" s="140"/>
      <c r="J1174" s="140"/>
      <c r="K1174" s="140"/>
      <c r="L1174" s="140"/>
      <c r="M1174" s="140"/>
      <c r="N1174" s="140"/>
    </row>
    <row r="1175" ht="15.75" customHeight="1">
      <c r="A1175" s="140"/>
      <c r="B1175" s="140"/>
      <c r="C1175" s="140"/>
      <c r="D1175" s="140"/>
      <c r="E1175" s="140"/>
      <c r="F1175" s="140"/>
      <c r="J1175" s="140"/>
      <c r="K1175" s="140"/>
      <c r="L1175" s="140"/>
      <c r="M1175" s="140"/>
      <c r="N1175" s="140"/>
    </row>
    <row r="1176" ht="15.75" customHeight="1">
      <c r="A1176" s="140"/>
      <c r="B1176" s="140"/>
      <c r="C1176" s="140"/>
      <c r="D1176" s="140"/>
      <c r="E1176" s="140"/>
      <c r="F1176" s="140"/>
      <c r="J1176" s="140"/>
      <c r="K1176" s="140"/>
      <c r="L1176" s="140"/>
      <c r="M1176" s="140"/>
      <c r="N1176" s="140"/>
    </row>
    <row r="1177" ht="15.75" customHeight="1">
      <c r="A1177" s="140"/>
      <c r="B1177" s="140"/>
      <c r="C1177" s="140"/>
      <c r="D1177" s="140"/>
      <c r="E1177" s="140"/>
      <c r="F1177" s="140"/>
      <c r="J1177" s="140"/>
      <c r="K1177" s="140"/>
      <c r="L1177" s="140"/>
      <c r="M1177" s="140"/>
      <c r="N1177" s="140"/>
    </row>
    <row r="1178" ht="15.75" customHeight="1">
      <c r="A1178" s="140"/>
      <c r="B1178" s="140"/>
      <c r="C1178" s="140"/>
      <c r="D1178" s="140"/>
      <c r="E1178" s="140"/>
      <c r="F1178" s="140"/>
      <c r="J1178" s="140"/>
      <c r="K1178" s="140"/>
      <c r="L1178" s="140"/>
      <c r="M1178" s="140"/>
      <c r="N1178" s="140"/>
    </row>
    <row r="1179" ht="15.75" customHeight="1">
      <c r="A1179" s="140"/>
      <c r="B1179" s="140"/>
      <c r="C1179" s="140"/>
      <c r="D1179" s="140"/>
      <c r="E1179" s="140"/>
      <c r="F1179" s="140"/>
      <c r="J1179" s="140"/>
      <c r="K1179" s="140"/>
      <c r="L1179" s="140"/>
      <c r="M1179" s="140"/>
      <c r="N1179" s="140"/>
    </row>
    <row r="1180" ht="15.75" customHeight="1">
      <c r="A1180" s="140"/>
      <c r="B1180" s="140"/>
      <c r="C1180" s="140"/>
      <c r="D1180" s="140"/>
      <c r="E1180" s="140"/>
      <c r="F1180" s="140"/>
      <c r="J1180" s="140"/>
      <c r="K1180" s="140"/>
      <c r="L1180" s="140"/>
      <c r="M1180" s="140"/>
      <c r="N1180" s="140"/>
    </row>
    <row r="1181" ht="15.75" customHeight="1">
      <c r="A1181" s="140"/>
      <c r="B1181" s="140"/>
      <c r="C1181" s="140"/>
      <c r="D1181" s="140"/>
      <c r="E1181" s="140"/>
      <c r="F1181" s="140"/>
      <c r="J1181" s="140"/>
      <c r="K1181" s="140"/>
      <c r="L1181" s="140"/>
      <c r="M1181" s="140"/>
      <c r="N1181" s="140"/>
    </row>
    <row r="1182" ht="15.75" customHeight="1">
      <c r="A1182" s="140"/>
      <c r="B1182" s="140"/>
      <c r="C1182" s="140"/>
      <c r="D1182" s="140"/>
      <c r="E1182" s="140"/>
      <c r="F1182" s="140"/>
      <c r="J1182" s="140"/>
      <c r="K1182" s="140"/>
      <c r="L1182" s="140"/>
      <c r="M1182" s="140"/>
      <c r="N1182" s="140"/>
    </row>
    <row r="1183" ht="15.75" customHeight="1">
      <c r="A1183" s="140"/>
      <c r="B1183" s="140"/>
      <c r="C1183" s="140"/>
      <c r="D1183" s="140"/>
      <c r="E1183" s="140"/>
      <c r="F1183" s="140"/>
      <c r="J1183" s="140"/>
      <c r="K1183" s="140"/>
      <c r="L1183" s="140"/>
      <c r="M1183" s="140"/>
      <c r="N1183" s="140"/>
    </row>
    <row r="1184" ht="15.75" customHeight="1">
      <c r="A1184" s="140"/>
      <c r="B1184" s="140"/>
      <c r="C1184" s="140"/>
      <c r="D1184" s="140"/>
      <c r="E1184" s="140"/>
      <c r="F1184" s="140"/>
      <c r="J1184" s="140"/>
      <c r="K1184" s="140"/>
      <c r="L1184" s="140"/>
      <c r="M1184" s="140"/>
      <c r="N1184" s="140"/>
    </row>
    <row r="1185" ht="15.75" customHeight="1">
      <c r="A1185" s="140"/>
      <c r="B1185" s="140"/>
      <c r="C1185" s="140"/>
      <c r="D1185" s="140"/>
      <c r="E1185" s="140"/>
      <c r="F1185" s="140"/>
      <c r="J1185" s="140"/>
      <c r="K1185" s="140"/>
      <c r="L1185" s="140"/>
      <c r="M1185" s="140"/>
      <c r="N1185" s="140"/>
    </row>
    <row r="1186" ht="15.75" customHeight="1">
      <c r="A1186" s="140"/>
      <c r="B1186" s="140"/>
      <c r="C1186" s="140"/>
      <c r="D1186" s="140"/>
      <c r="E1186" s="140"/>
      <c r="F1186" s="140"/>
      <c r="J1186" s="140"/>
      <c r="K1186" s="140"/>
      <c r="L1186" s="140"/>
      <c r="M1186" s="140"/>
      <c r="N1186" s="140"/>
    </row>
    <row r="1187" ht="15.75" customHeight="1">
      <c r="A1187" s="140"/>
      <c r="B1187" s="140"/>
      <c r="C1187" s="140"/>
      <c r="D1187" s="140"/>
      <c r="E1187" s="140"/>
      <c r="F1187" s="140"/>
      <c r="J1187" s="140"/>
      <c r="K1187" s="140"/>
      <c r="L1187" s="140"/>
      <c r="M1187" s="140"/>
      <c r="N1187" s="140"/>
    </row>
    <row r="1188" ht="15.75" customHeight="1">
      <c r="A1188" s="140"/>
      <c r="B1188" s="140"/>
      <c r="C1188" s="140"/>
      <c r="D1188" s="140"/>
      <c r="E1188" s="140"/>
      <c r="F1188" s="140"/>
      <c r="J1188" s="140"/>
      <c r="K1188" s="140"/>
      <c r="L1188" s="140"/>
      <c r="M1188" s="140"/>
      <c r="N1188" s="140"/>
    </row>
    <row r="1189" ht="15.75" customHeight="1">
      <c r="A1189" s="140"/>
      <c r="B1189" s="140"/>
      <c r="C1189" s="140"/>
      <c r="D1189" s="140"/>
      <c r="E1189" s="140"/>
      <c r="F1189" s="140"/>
      <c r="J1189" s="140"/>
      <c r="K1189" s="140"/>
      <c r="L1189" s="140"/>
      <c r="M1189" s="140"/>
      <c r="N1189" s="140"/>
    </row>
    <row r="1190" ht="15.75" customHeight="1">
      <c r="A1190" s="140"/>
      <c r="B1190" s="140"/>
      <c r="C1190" s="140"/>
      <c r="D1190" s="140"/>
      <c r="E1190" s="140"/>
      <c r="F1190" s="140"/>
      <c r="J1190" s="140"/>
      <c r="K1190" s="140"/>
      <c r="L1190" s="140"/>
      <c r="M1190" s="140"/>
      <c r="N1190" s="140"/>
    </row>
    <row r="1191" ht="15.75" customHeight="1">
      <c r="A1191" s="140"/>
      <c r="B1191" s="140"/>
      <c r="C1191" s="140"/>
      <c r="D1191" s="140"/>
      <c r="E1191" s="140"/>
      <c r="F1191" s="140"/>
      <c r="J1191" s="140"/>
      <c r="K1191" s="140"/>
      <c r="L1191" s="140"/>
      <c r="M1191" s="140"/>
      <c r="N1191" s="140"/>
    </row>
    <row r="1192" ht="15.75" customHeight="1">
      <c r="A1192" s="140"/>
      <c r="B1192" s="140"/>
      <c r="C1192" s="140"/>
      <c r="D1192" s="140"/>
      <c r="E1192" s="140"/>
      <c r="F1192" s="140"/>
      <c r="J1192" s="140"/>
      <c r="K1192" s="140"/>
      <c r="L1192" s="140"/>
      <c r="M1192" s="140"/>
      <c r="N1192" s="140"/>
    </row>
    <row r="1193" ht="15.75" customHeight="1">
      <c r="A1193" s="140"/>
      <c r="B1193" s="140"/>
      <c r="C1193" s="140"/>
      <c r="D1193" s="140"/>
      <c r="E1193" s="140"/>
      <c r="F1193" s="140"/>
      <c r="J1193" s="140"/>
      <c r="K1193" s="140"/>
      <c r="L1193" s="140"/>
      <c r="M1193" s="140"/>
      <c r="N1193" s="140"/>
    </row>
    <row r="1194" ht="15.75" customHeight="1">
      <c r="A1194" s="140"/>
      <c r="B1194" s="140"/>
      <c r="C1194" s="140"/>
      <c r="D1194" s="140"/>
      <c r="E1194" s="140"/>
      <c r="F1194" s="140"/>
      <c r="J1194" s="140"/>
      <c r="K1194" s="140"/>
      <c r="L1194" s="140"/>
      <c r="M1194" s="140"/>
      <c r="N1194" s="140"/>
    </row>
    <row r="1195" ht="15.75" customHeight="1">
      <c r="A1195" s="140"/>
      <c r="B1195" s="140"/>
      <c r="C1195" s="140"/>
      <c r="D1195" s="140"/>
      <c r="E1195" s="140"/>
      <c r="F1195" s="140"/>
      <c r="J1195" s="140"/>
      <c r="K1195" s="140"/>
      <c r="L1195" s="140"/>
      <c r="M1195" s="140"/>
      <c r="N1195" s="140"/>
    </row>
    <row r="1196" ht="15.75" customHeight="1">
      <c r="A1196" s="140"/>
      <c r="B1196" s="140"/>
      <c r="C1196" s="140"/>
      <c r="D1196" s="140"/>
      <c r="E1196" s="140"/>
      <c r="F1196" s="140"/>
      <c r="J1196" s="140"/>
      <c r="K1196" s="140"/>
      <c r="L1196" s="140"/>
      <c r="M1196" s="140"/>
      <c r="N1196" s="140"/>
    </row>
    <row r="1197" ht="15.75" customHeight="1">
      <c r="A1197" s="140"/>
      <c r="B1197" s="140"/>
      <c r="C1197" s="140"/>
      <c r="D1197" s="140"/>
      <c r="E1197" s="140"/>
      <c r="F1197" s="140"/>
      <c r="J1197" s="140"/>
      <c r="K1197" s="140"/>
      <c r="L1197" s="140"/>
      <c r="M1197" s="140"/>
      <c r="N1197" s="140"/>
    </row>
    <row r="1198" ht="15.75" customHeight="1">
      <c r="A1198" s="140"/>
      <c r="B1198" s="140"/>
      <c r="C1198" s="140"/>
      <c r="D1198" s="140"/>
      <c r="E1198" s="140"/>
      <c r="F1198" s="140"/>
      <c r="J1198" s="140"/>
      <c r="K1198" s="140"/>
      <c r="L1198" s="140"/>
      <c r="M1198" s="140"/>
      <c r="N1198" s="140"/>
    </row>
    <row r="1199" ht="15.75" customHeight="1">
      <c r="A1199" s="140"/>
      <c r="B1199" s="140"/>
      <c r="C1199" s="140"/>
      <c r="D1199" s="140"/>
      <c r="E1199" s="140"/>
      <c r="F1199" s="140"/>
      <c r="J1199" s="140"/>
      <c r="K1199" s="140"/>
      <c r="L1199" s="140"/>
      <c r="M1199" s="140"/>
      <c r="N1199" s="140"/>
    </row>
    <row r="1200" ht="15.75" customHeight="1">
      <c r="A1200" s="140"/>
      <c r="B1200" s="140"/>
      <c r="C1200" s="140"/>
      <c r="D1200" s="140"/>
      <c r="E1200" s="140"/>
      <c r="F1200" s="140"/>
      <c r="J1200" s="140"/>
      <c r="K1200" s="140"/>
      <c r="L1200" s="140"/>
      <c r="M1200" s="140"/>
      <c r="N1200" s="140"/>
    </row>
    <row r="1201" ht="15.75" customHeight="1">
      <c r="A1201" s="140"/>
      <c r="B1201" s="140"/>
      <c r="C1201" s="140"/>
      <c r="D1201" s="140"/>
      <c r="E1201" s="140"/>
      <c r="F1201" s="140"/>
      <c r="J1201" s="140"/>
      <c r="K1201" s="140"/>
      <c r="L1201" s="140"/>
      <c r="M1201" s="140"/>
      <c r="N1201" s="140"/>
    </row>
    <row r="1202" ht="15.75" customHeight="1">
      <c r="A1202" s="140"/>
      <c r="B1202" s="140"/>
      <c r="C1202" s="140"/>
      <c r="D1202" s="140"/>
      <c r="E1202" s="140"/>
      <c r="F1202" s="140"/>
      <c r="J1202" s="140"/>
      <c r="K1202" s="140"/>
      <c r="L1202" s="140"/>
      <c r="M1202" s="140"/>
      <c r="N1202" s="140"/>
    </row>
    <row r="1203" ht="15.75" customHeight="1">
      <c r="A1203" s="140"/>
      <c r="B1203" s="140"/>
      <c r="C1203" s="140"/>
      <c r="D1203" s="140"/>
      <c r="E1203" s="140"/>
      <c r="F1203" s="140"/>
      <c r="J1203" s="140"/>
      <c r="K1203" s="140"/>
      <c r="L1203" s="140"/>
      <c r="M1203" s="140"/>
      <c r="N1203" s="140"/>
    </row>
    <row r="1204" ht="15.75" customHeight="1">
      <c r="A1204" s="140"/>
      <c r="B1204" s="140"/>
      <c r="C1204" s="140"/>
      <c r="D1204" s="140"/>
      <c r="E1204" s="140"/>
      <c r="F1204" s="140"/>
      <c r="J1204" s="140"/>
      <c r="K1204" s="140"/>
      <c r="L1204" s="140"/>
      <c r="M1204" s="140"/>
      <c r="N1204" s="140"/>
    </row>
    <row r="1205" ht="15.75" customHeight="1">
      <c r="A1205" s="140"/>
      <c r="B1205" s="140"/>
      <c r="C1205" s="140"/>
      <c r="D1205" s="140"/>
      <c r="E1205" s="140"/>
      <c r="F1205" s="140"/>
      <c r="J1205" s="140"/>
      <c r="K1205" s="140"/>
      <c r="L1205" s="140"/>
      <c r="M1205" s="140"/>
      <c r="N1205" s="140"/>
    </row>
    <row r="1206" ht="15.75" customHeight="1">
      <c r="A1206" s="140"/>
      <c r="B1206" s="140"/>
      <c r="C1206" s="140"/>
      <c r="D1206" s="140"/>
      <c r="E1206" s="140"/>
      <c r="F1206" s="140"/>
      <c r="J1206" s="140"/>
      <c r="K1206" s="140"/>
      <c r="L1206" s="140"/>
      <c r="M1206" s="140"/>
      <c r="N1206" s="140"/>
    </row>
  </sheetData>
  <autoFilter ref="$A$1:$AB$1206"/>
  <mergeCells count="1253">
    <mergeCell ref="C136:C137"/>
    <mergeCell ref="D136:D137"/>
    <mergeCell ref="E136:E137"/>
    <mergeCell ref="F136:F137"/>
    <mergeCell ref="J136:J137"/>
    <mergeCell ref="K136:K137"/>
    <mergeCell ref="N136:N137"/>
    <mergeCell ref="B136:B137"/>
    <mergeCell ref="B138:B139"/>
    <mergeCell ref="C138:C139"/>
    <mergeCell ref="D138:D139"/>
    <mergeCell ref="E138:E139"/>
    <mergeCell ref="F138:F139"/>
    <mergeCell ref="J138:J139"/>
    <mergeCell ref="J140:J141"/>
    <mergeCell ref="K140:K141"/>
    <mergeCell ref="K138:K139"/>
    <mergeCell ref="N138:N139"/>
    <mergeCell ref="C140:C141"/>
    <mergeCell ref="D140:D141"/>
    <mergeCell ref="E140:E141"/>
    <mergeCell ref="F140:F141"/>
    <mergeCell ref="N140:N141"/>
    <mergeCell ref="K142:K143"/>
    <mergeCell ref="N142:N143"/>
    <mergeCell ref="B140:B141"/>
    <mergeCell ref="B142:B143"/>
    <mergeCell ref="C142:C143"/>
    <mergeCell ref="D142:D143"/>
    <mergeCell ref="E142:E143"/>
    <mergeCell ref="F142:F143"/>
    <mergeCell ref="J142:J143"/>
    <mergeCell ref="C145:C146"/>
    <mergeCell ref="D145:D146"/>
    <mergeCell ref="E145:E146"/>
    <mergeCell ref="F145:F146"/>
    <mergeCell ref="J145:J146"/>
    <mergeCell ref="K145:K146"/>
    <mergeCell ref="N145:N146"/>
    <mergeCell ref="B145:B146"/>
    <mergeCell ref="B147:B148"/>
    <mergeCell ref="C147:C148"/>
    <mergeCell ref="D147:D148"/>
    <mergeCell ref="E147:E148"/>
    <mergeCell ref="F147:F148"/>
    <mergeCell ref="J147:J148"/>
    <mergeCell ref="J149:J150"/>
    <mergeCell ref="K149:K150"/>
    <mergeCell ref="K147:K148"/>
    <mergeCell ref="N147:N148"/>
    <mergeCell ref="C149:C150"/>
    <mergeCell ref="D149:D150"/>
    <mergeCell ref="E149:E150"/>
    <mergeCell ref="F149:F150"/>
    <mergeCell ref="N149:N150"/>
    <mergeCell ref="K151:K152"/>
    <mergeCell ref="N151:N152"/>
    <mergeCell ref="B149:B150"/>
    <mergeCell ref="B151:B152"/>
    <mergeCell ref="C151:C152"/>
    <mergeCell ref="D151:D152"/>
    <mergeCell ref="E151:E152"/>
    <mergeCell ref="F151:F152"/>
    <mergeCell ref="J151:J152"/>
    <mergeCell ref="J157:J158"/>
    <mergeCell ref="K157:K158"/>
    <mergeCell ref="K155:K156"/>
    <mergeCell ref="N155:N156"/>
    <mergeCell ref="C157:C158"/>
    <mergeCell ref="D157:D158"/>
    <mergeCell ref="E157:E158"/>
    <mergeCell ref="F157:F158"/>
    <mergeCell ref="N157:N158"/>
    <mergeCell ref="C153:C154"/>
    <mergeCell ref="D153:D154"/>
    <mergeCell ref="E153:E154"/>
    <mergeCell ref="F153:F154"/>
    <mergeCell ref="J153:J154"/>
    <mergeCell ref="K153:K154"/>
    <mergeCell ref="N153:N154"/>
    <mergeCell ref="B153:B154"/>
    <mergeCell ref="B155:B156"/>
    <mergeCell ref="C155:C156"/>
    <mergeCell ref="D155:D156"/>
    <mergeCell ref="E155:E156"/>
    <mergeCell ref="F155:F156"/>
    <mergeCell ref="J155:J156"/>
    <mergeCell ref="K159:K160"/>
    <mergeCell ref="N159:N160"/>
    <mergeCell ref="B157:B158"/>
    <mergeCell ref="B159:B160"/>
    <mergeCell ref="C159:C160"/>
    <mergeCell ref="D159:D160"/>
    <mergeCell ref="E159:E160"/>
    <mergeCell ref="F159:F160"/>
    <mergeCell ref="J159:J160"/>
    <mergeCell ref="C161:C162"/>
    <mergeCell ref="D161:D162"/>
    <mergeCell ref="E161:E162"/>
    <mergeCell ref="F161:F162"/>
    <mergeCell ref="J161:J162"/>
    <mergeCell ref="K161:K162"/>
    <mergeCell ref="N161:N162"/>
    <mergeCell ref="B161:B162"/>
    <mergeCell ref="B163:B164"/>
    <mergeCell ref="C163:C164"/>
    <mergeCell ref="D163:D164"/>
    <mergeCell ref="E163:E164"/>
    <mergeCell ref="F163:F164"/>
    <mergeCell ref="J163:J164"/>
    <mergeCell ref="J165:J166"/>
    <mergeCell ref="K165:K166"/>
    <mergeCell ref="K163:K164"/>
    <mergeCell ref="N163:N164"/>
    <mergeCell ref="C165:C166"/>
    <mergeCell ref="D165:D166"/>
    <mergeCell ref="E165:E166"/>
    <mergeCell ref="F165:F166"/>
    <mergeCell ref="N165:N166"/>
    <mergeCell ref="K167:K168"/>
    <mergeCell ref="N167:N168"/>
    <mergeCell ref="B165:B166"/>
    <mergeCell ref="B167:B168"/>
    <mergeCell ref="C167:C168"/>
    <mergeCell ref="D167:D168"/>
    <mergeCell ref="E167:E168"/>
    <mergeCell ref="F167:F168"/>
    <mergeCell ref="J167:J168"/>
    <mergeCell ref="C169:C170"/>
    <mergeCell ref="D169:D170"/>
    <mergeCell ref="E169:E170"/>
    <mergeCell ref="F169:F170"/>
    <mergeCell ref="J169:J170"/>
    <mergeCell ref="K169:K170"/>
    <mergeCell ref="N169:N170"/>
    <mergeCell ref="B169:B170"/>
    <mergeCell ref="B171:B172"/>
    <mergeCell ref="C171:C172"/>
    <mergeCell ref="D171:D172"/>
    <mergeCell ref="E171:E172"/>
    <mergeCell ref="F171:F172"/>
    <mergeCell ref="J171:J172"/>
    <mergeCell ref="J173:J174"/>
    <mergeCell ref="K173:K174"/>
    <mergeCell ref="K171:K172"/>
    <mergeCell ref="N171:N172"/>
    <mergeCell ref="C173:C174"/>
    <mergeCell ref="D173:D174"/>
    <mergeCell ref="E173:E174"/>
    <mergeCell ref="F173:F174"/>
    <mergeCell ref="N173:N174"/>
    <mergeCell ref="K175:K176"/>
    <mergeCell ref="N175:N176"/>
    <mergeCell ref="B173:B174"/>
    <mergeCell ref="B175:B176"/>
    <mergeCell ref="C175:C176"/>
    <mergeCell ref="D175:D176"/>
    <mergeCell ref="E175:E176"/>
    <mergeCell ref="F175:F176"/>
    <mergeCell ref="J175:J176"/>
    <mergeCell ref="C177:C178"/>
    <mergeCell ref="D177:D178"/>
    <mergeCell ref="E177:E178"/>
    <mergeCell ref="F177:F178"/>
    <mergeCell ref="J177:J178"/>
    <mergeCell ref="K177:K178"/>
    <mergeCell ref="N177:N178"/>
    <mergeCell ref="B177:B178"/>
    <mergeCell ref="B179:B180"/>
    <mergeCell ref="C179:C180"/>
    <mergeCell ref="D179:D180"/>
    <mergeCell ref="E179:E180"/>
    <mergeCell ref="F179:F180"/>
    <mergeCell ref="J179:J180"/>
    <mergeCell ref="J181:J182"/>
    <mergeCell ref="K181:K182"/>
    <mergeCell ref="K179:K180"/>
    <mergeCell ref="N179:N180"/>
    <mergeCell ref="C181:C182"/>
    <mergeCell ref="D181:D182"/>
    <mergeCell ref="E181:E182"/>
    <mergeCell ref="F181:F182"/>
    <mergeCell ref="N181:N182"/>
    <mergeCell ref="K183:K184"/>
    <mergeCell ref="N183:N184"/>
    <mergeCell ref="B181:B182"/>
    <mergeCell ref="B183:B184"/>
    <mergeCell ref="C183:C184"/>
    <mergeCell ref="D183:D184"/>
    <mergeCell ref="E183:E184"/>
    <mergeCell ref="F183:F184"/>
    <mergeCell ref="J183:J184"/>
    <mergeCell ref="C185:C186"/>
    <mergeCell ref="D185:D186"/>
    <mergeCell ref="E185:E186"/>
    <mergeCell ref="F185:F186"/>
    <mergeCell ref="J185:J186"/>
    <mergeCell ref="K185:K186"/>
    <mergeCell ref="N185:N186"/>
    <mergeCell ref="B185:B186"/>
    <mergeCell ref="B187:B188"/>
    <mergeCell ref="C187:C188"/>
    <mergeCell ref="D187:D188"/>
    <mergeCell ref="E187:E188"/>
    <mergeCell ref="F187:F188"/>
    <mergeCell ref="J187:J188"/>
    <mergeCell ref="J189:J190"/>
    <mergeCell ref="K189:K190"/>
    <mergeCell ref="K187:K188"/>
    <mergeCell ref="N187:N188"/>
    <mergeCell ref="C189:C190"/>
    <mergeCell ref="D189:D190"/>
    <mergeCell ref="E189:E190"/>
    <mergeCell ref="F189:F190"/>
    <mergeCell ref="N189:N190"/>
    <mergeCell ref="K191:K192"/>
    <mergeCell ref="N191:N192"/>
    <mergeCell ref="B189:B190"/>
    <mergeCell ref="B191:B192"/>
    <mergeCell ref="C191:C192"/>
    <mergeCell ref="D191:D192"/>
    <mergeCell ref="E191:E192"/>
    <mergeCell ref="F191:F192"/>
    <mergeCell ref="J191:J192"/>
    <mergeCell ref="C193:C194"/>
    <mergeCell ref="D193:D194"/>
    <mergeCell ref="E193:E194"/>
    <mergeCell ref="F193:F194"/>
    <mergeCell ref="J193:J194"/>
    <mergeCell ref="K193:K194"/>
    <mergeCell ref="N193:N194"/>
    <mergeCell ref="B193:B194"/>
    <mergeCell ref="B195:B196"/>
    <mergeCell ref="C195:C196"/>
    <mergeCell ref="D195:D196"/>
    <mergeCell ref="E195:E196"/>
    <mergeCell ref="F195:F196"/>
    <mergeCell ref="J195:J196"/>
    <mergeCell ref="C124:C125"/>
    <mergeCell ref="D124:D125"/>
    <mergeCell ref="E124:E125"/>
    <mergeCell ref="F124:F125"/>
    <mergeCell ref="J124:J125"/>
    <mergeCell ref="K124:K125"/>
    <mergeCell ref="N124:N125"/>
    <mergeCell ref="B124:B125"/>
    <mergeCell ref="B126:B127"/>
    <mergeCell ref="C126:C127"/>
    <mergeCell ref="D126:D127"/>
    <mergeCell ref="E126:E127"/>
    <mergeCell ref="F126:F127"/>
    <mergeCell ref="J126:J127"/>
    <mergeCell ref="C128:C129"/>
    <mergeCell ref="D128:D129"/>
    <mergeCell ref="E128:E129"/>
    <mergeCell ref="F128:F129"/>
    <mergeCell ref="J128:J129"/>
    <mergeCell ref="K128:K129"/>
    <mergeCell ref="N128:N129"/>
    <mergeCell ref="K130:K131"/>
    <mergeCell ref="N130:N131"/>
    <mergeCell ref="B128:B129"/>
    <mergeCell ref="B130:B131"/>
    <mergeCell ref="C130:C131"/>
    <mergeCell ref="D130:D131"/>
    <mergeCell ref="E130:E131"/>
    <mergeCell ref="F130:F131"/>
    <mergeCell ref="J130:J131"/>
    <mergeCell ref="K134:K135"/>
    <mergeCell ref="N134:N135"/>
    <mergeCell ref="K199:K200"/>
    <mergeCell ref="N199:N200"/>
    <mergeCell ref="B197:B198"/>
    <mergeCell ref="B199:B200"/>
    <mergeCell ref="C199:C200"/>
    <mergeCell ref="D199:D200"/>
    <mergeCell ref="E199:E200"/>
    <mergeCell ref="F199:F200"/>
    <mergeCell ref="J199:J200"/>
    <mergeCell ref="J197:J198"/>
    <mergeCell ref="J202:J203"/>
    <mergeCell ref="J204:J205"/>
    <mergeCell ref="J206:J207"/>
    <mergeCell ref="J208:J209"/>
    <mergeCell ref="J210:J211"/>
    <mergeCell ref="J212:J213"/>
    <mergeCell ref="J214:J215"/>
    <mergeCell ref="J216:J217"/>
    <mergeCell ref="K216:K217"/>
    <mergeCell ref="J218:J219"/>
    <mergeCell ref="K218:K219"/>
    <mergeCell ref="J220:J221"/>
    <mergeCell ref="K220:K221"/>
    <mergeCell ref="J228:J229"/>
    <mergeCell ref="J230:J231"/>
    <mergeCell ref="J232:J233"/>
    <mergeCell ref="J234:J235"/>
    <mergeCell ref="J236:J237"/>
    <mergeCell ref="J238:J239"/>
    <mergeCell ref="K230:K231"/>
    <mergeCell ref="K232:K233"/>
    <mergeCell ref="K234:K235"/>
    <mergeCell ref="K236:K237"/>
    <mergeCell ref="K238:K239"/>
    <mergeCell ref="J222:J223"/>
    <mergeCell ref="K222:K223"/>
    <mergeCell ref="J224:J225"/>
    <mergeCell ref="K224:K225"/>
    <mergeCell ref="J226:J227"/>
    <mergeCell ref="K226:K227"/>
    <mergeCell ref="K228:K229"/>
    <mergeCell ref="D226:D227"/>
    <mergeCell ref="E226:E227"/>
    <mergeCell ref="A224:A225"/>
    <mergeCell ref="B224:B225"/>
    <mergeCell ref="C224:C225"/>
    <mergeCell ref="D224:D225"/>
    <mergeCell ref="E224:E225"/>
    <mergeCell ref="F224:F225"/>
    <mergeCell ref="A226:A227"/>
    <mergeCell ref="F226:F227"/>
    <mergeCell ref="B226:B227"/>
    <mergeCell ref="C226:C227"/>
    <mergeCell ref="B228:B229"/>
    <mergeCell ref="C228:C229"/>
    <mergeCell ref="D228:D229"/>
    <mergeCell ref="E228:E229"/>
    <mergeCell ref="F228:F229"/>
    <mergeCell ref="A228:A229"/>
    <mergeCell ref="A230:A231"/>
    <mergeCell ref="B230:B231"/>
    <mergeCell ref="C230:C231"/>
    <mergeCell ref="D230:D231"/>
    <mergeCell ref="E230:E231"/>
    <mergeCell ref="F230:F231"/>
    <mergeCell ref="D234:D235"/>
    <mergeCell ref="E234:E235"/>
    <mergeCell ref="A232:A233"/>
    <mergeCell ref="B232:B233"/>
    <mergeCell ref="C232:C233"/>
    <mergeCell ref="D232:D233"/>
    <mergeCell ref="E232:E233"/>
    <mergeCell ref="F232:F233"/>
    <mergeCell ref="A234:A235"/>
    <mergeCell ref="F234:F235"/>
    <mergeCell ref="B234:B235"/>
    <mergeCell ref="C234:C235"/>
    <mergeCell ref="B236:B237"/>
    <mergeCell ref="C236:C237"/>
    <mergeCell ref="D236:D237"/>
    <mergeCell ref="E236:E237"/>
    <mergeCell ref="F236:F237"/>
    <mergeCell ref="A236:A237"/>
    <mergeCell ref="A238:A239"/>
    <mergeCell ref="B238:B239"/>
    <mergeCell ref="C238:C239"/>
    <mergeCell ref="D238:D239"/>
    <mergeCell ref="E238:E239"/>
    <mergeCell ref="F238:F239"/>
    <mergeCell ref="B258:B259"/>
    <mergeCell ref="C258:C259"/>
    <mergeCell ref="B260:B261"/>
    <mergeCell ref="C260:C261"/>
    <mergeCell ref="D260:D261"/>
    <mergeCell ref="E260:E261"/>
    <mergeCell ref="F260:F261"/>
    <mergeCell ref="A260:A261"/>
    <mergeCell ref="A262:A263"/>
    <mergeCell ref="B262:B263"/>
    <mergeCell ref="C262:C263"/>
    <mergeCell ref="D262:D263"/>
    <mergeCell ref="E262:E263"/>
    <mergeCell ref="F262:F263"/>
    <mergeCell ref="D267:D268"/>
    <mergeCell ref="E267:E268"/>
    <mergeCell ref="B265:B266"/>
    <mergeCell ref="C265:C266"/>
    <mergeCell ref="D265:D266"/>
    <mergeCell ref="E265:E266"/>
    <mergeCell ref="F265:F266"/>
    <mergeCell ref="C267:C268"/>
    <mergeCell ref="F267:F268"/>
    <mergeCell ref="D206:D207"/>
    <mergeCell ref="E206:E207"/>
    <mergeCell ref="D208:D209"/>
    <mergeCell ref="E208:E209"/>
    <mergeCell ref="F208:F209"/>
    <mergeCell ref="D210:D211"/>
    <mergeCell ref="E210:E211"/>
    <mergeCell ref="F210:F211"/>
    <mergeCell ref="B206:B207"/>
    <mergeCell ref="C206:C207"/>
    <mergeCell ref="A208:A209"/>
    <mergeCell ref="B208:B209"/>
    <mergeCell ref="C208:C209"/>
    <mergeCell ref="B210:B211"/>
    <mergeCell ref="C210:C211"/>
    <mergeCell ref="D216:D217"/>
    <mergeCell ref="E216:E217"/>
    <mergeCell ref="D218:D219"/>
    <mergeCell ref="E218:E219"/>
    <mergeCell ref="F218:F219"/>
    <mergeCell ref="D220:D221"/>
    <mergeCell ref="E220:E221"/>
    <mergeCell ref="F220:F221"/>
    <mergeCell ref="A214:A215"/>
    <mergeCell ref="B214:B215"/>
    <mergeCell ref="C214:C215"/>
    <mergeCell ref="D214:D215"/>
    <mergeCell ref="E214:E215"/>
    <mergeCell ref="F214:F215"/>
    <mergeCell ref="A216:A217"/>
    <mergeCell ref="F216:F217"/>
    <mergeCell ref="A220:A221"/>
    <mergeCell ref="A222:A223"/>
    <mergeCell ref="B222:B223"/>
    <mergeCell ref="C222:C223"/>
    <mergeCell ref="D222:D223"/>
    <mergeCell ref="E222:E223"/>
    <mergeCell ref="F222:F223"/>
    <mergeCell ref="B216:B217"/>
    <mergeCell ref="C216:C217"/>
    <mergeCell ref="A218:A219"/>
    <mergeCell ref="B218:B219"/>
    <mergeCell ref="C218:C219"/>
    <mergeCell ref="B220:B221"/>
    <mergeCell ref="C220:C221"/>
    <mergeCell ref="C271:C272"/>
    <mergeCell ref="D271:D272"/>
    <mergeCell ref="B283:B284"/>
    <mergeCell ref="C283:C284"/>
    <mergeCell ref="E283:E284"/>
    <mergeCell ref="F283:F284"/>
    <mergeCell ref="C279:C280"/>
    <mergeCell ref="D279:D280"/>
    <mergeCell ref="A281:A282"/>
    <mergeCell ref="B281:B282"/>
    <mergeCell ref="C281:C282"/>
    <mergeCell ref="D281:D282"/>
    <mergeCell ref="D283:D284"/>
    <mergeCell ref="E271:E272"/>
    <mergeCell ref="F271:F272"/>
    <mergeCell ref="B267:B268"/>
    <mergeCell ref="B269:B270"/>
    <mergeCell ref="C269:C270"/>
    <mergeCell ref="D269:D270"/>
    <mergeCell ref="E269:E270"/>
    <mergeCell ref="F269:F270"/>
    <mergeCell ref="B271:B272"/>
    <mergeCell ref="D275:D276"/>
    <mergeCell ref="E275:E276"/>
    <mergeCell ref="B273:B274"/>
    <mergeCell ref="C273:C274"/>
    <mergeCell ref="D273:D274"/>
    <mergeCell ref="E273:E274"/>
    <mergeCell ref="F273:F274"/>
    <mergeCell ref="C275:C276"/>
    <mergeCell ref="F275:F276"/>
    <mergeCell ref="E279:E280"/>
    <mergeCell ref="F279:F280"/>
    <mergeCell ref="E281:E282"/>
    <mergeCell ref="F281:F282"/>
    <mergeCell ref="B275:B276"/>
    <mergeCell ref="B277:B278"/>
    <mergeCell ref="C277:C278"/>
    <mergeCell ref="D277:D278"/>
    <mergeCell ref="E277:E278"/>
    <mergeCell ref="F277:F278"/>
    <mergeCell ref="B279:B280"/>
    <mergeCell ref="A283:A284"/>
    <mergeCell ref="A285:A286"/>
    <mergeCell ref="B285:B286"/>
    <mergeCell ref="C285:C286"/>
    <mergeCell ref="D285:D286"/>
    <mergeCell ref="E285:E286"/>
    <mergeCell ref="F285:F286"/>
    <mergeCell ref="D299:D300"/>
    <mergeCell ref="E299:E300"/>
    <mergeCell ref="D301:D302"/>
    <mergeCell ref="E301:E302"/>
    <mergeCell ref="F301:F302"/>
    <mergeCell ref="D303:D304"/>
    <mergeCell ref="E303:E304"/>
    <mergeCell ref="F303:F304"/>
    <mergeCell ref="B299:B300"/>
    <mergeCell ref="C299:C300"/>
    <mergeCell ref="A301:A302"/>
    <mergeCell ref="B301:B302"/>
    <mergeCell ref="C301:C302"/>
    <mergeCell ref="B303:B304"/>
    <mergeCell ref="C303:C304"/>
    <mergeCell ref="D289:D290"/>
    <mergeCell ref="E289:E290"/>
    <mergeCell ref="D291:D292"/>
    <mergeCell ref="E291:E292"/>
    <mergeCell ref="F291:F292"/>
    <mergeCell ref="D293:D294"/>
    <mergeCell ref="E293:E294"/>
    <mergeCell ref="F293:F294"/>
    <mergeCell ref="A287:A288"/>
    <mergeCell ref="B287:B288"/>
    <mergeCell ref="C287:C288"/>
    <mergeCell ref="D287:D288"/>
    <mergeCell ref="E287:E288"/>
    <mergeCell ref="F287:F288"/>
    <mergeCell ref="A289:A290"/>
    <mergeCell ref="F289:F290"/>
    <mergeCell ref="A293:A294"/>
    <mergeCell ref="A295:A296"/>
    <mergeCell ref="B295:B296"/>
    <mergeCell ref="C295:C296"/>
    <mergeCell ref="D295:D296"/>
    <mergeCell ref="E295:E296"/>
    <mergeCell ref="F295:F296"/>
    <mergeCell ref="B289:B290"/>
    <mergeCell ref="C289:C290"/>
    <mergeCell ref="A291:A292"/>
    <mergeCell ref="B291:B292"/>
    <mergeCell ref="C291:C292"/>
    <mergeCell ref="B293:B294"/>
    <mergeCell ref="C293:C294"/>
    <mergeCell ref="A297:A298"/>
    <mergeCell ref="B297:B298"/>
    <mergeCell ref="C297:C298"/>
    <mergeCell ref="D297:D298"/>
    <mergeCell ref="E297:E298"/>
    <mergeCell ref="F297:F298"/>
    <mergeCell ref="A299:A300"/>
    <mergeCell ref="F299:F300"/>
    <mergeCell ref="A303:A304"/>
    <mergeCell ref="A305:A306"/>
    <mergeCell ref="B305:B306"/>
    <mergeCell ref="C305:C306"/>
    <mergeCell ref="D305:D306"/>
    <mergeCell ref="E305:E306"/>
    <mergeCell ref="F305:F306"/>
    <mergeCell ref="A307:A308"/>
    <mergeCell ref="B307:B308"/>
    <mergeCell ref="C307:C308"/>
    <mergeCell ref="D307:D308"/>
    <mergeCell ref="E307:E308"/>
    <mergeCell ref="F307:F308"/>
    <mergeCell ref="N224:N225"/>
    <mergeCell ref="N226:N227"/>
    <mergeCell ref="N228:N229"/>
    <mergeCell ref="N230:N231"/>
    <mergeCell ref="N232:N233"/>
    <mergeCell ref="N234:N235"/>
    <mergeCell ref="N236:N237"/>
    <mergeCell ref="N238:N239"/>
    <mergeCell ref="N240:N241"/>
    <mergeCell ref="N242:N243"/>
    <mergeCell ref="N244:N245"/>
    <mergeCell ref="N246:N247"/>
    <mergeCell ref="N248:N249"/>
    <mergeCell ref="N250:N251"/>
    <mergeCell ref="N252:N253"/>
    <mergeCell ref="N254:N255"/>
    <mergeCell ref="N256:N257"/>
    <mergeCell ref="N258:N259"/>
    <mergeCell ref="N260:N261"/>
    <mergeCell ref="N262:N263"/>
    <mergeCell ref="N265:N266"/>
    <mergeCell ref="N267:N268"/>
    <mergeCell ref="N269:N270"/>
    <mergeCell ref="N271:N272"/>
    <mergeCell ref="N273:N274"/>
    <mergeCell ref="N275:N276"/>
    <mergeCell ref="N277:N278"/>
    <mergeCell ref="N279:N280"/>
    <mergeCell ref="N295:N296"/>
    <mergeCell ref="N297:N298"/>
    <mergeCell ref="N299:N300"/>
    <mergeCell ref="N301:N302"/>
    <mergeCell ref="N303:N304"/>
    <mergeCell ref="N305:N306"/>
    <mergeCell ref="N307:N308"/>
    <mergeCell ref="N281:N282"/>
    <mergeCell ref="N283:N284"/>
    <mergeCell ref="N285:N286"/>
    <mergeCell ref="N287:N288"/>
    <mergeCell ref="N289:N290"/>
    <mergeCell ref="N291:N292"/>
    <mergeCell ref="N293:N294"/>
    <mergeCell ref="K195:K196"/>
    <mergeCell ref="N195:N196"/>
    <mergeCell ref="C197:C198"/>
    <mergeCell ref="D197:D198"/>
    <mergeCell ref="E197:E198"/>
    <mergeCell ref="F197:F198"/>
    <mergeCell ref="N197:N198"/>
    <mergeCell ref="K197:K198"/>
    <mergeCell ref="A202:A203"/>
    <mergeCell ref="B202:B203"/>
    <mergeCell ref="C202:C203"/>
    <mergeCell ref="D202:D203"/>
    <mergeCell ref="E202:E203"/>
    <mergeCell ref="F202:F203"/>
    <mergeCell ref="A204:A205"/>
    <mergeCell ref="B204:B205"/>
    <mergeCell ref="C204:C205"/>
    <mergeCell ref="D204:D205"/>
    <mergeCell ref="E204:E205"/>
    <mergeCell ref="F204:F205"/>
    <mergeCell ref="A206:A207"/>
    <mergeCell ref="F206:F207"/>
    <mergeCell ref="K208:K209"/>
    <mergeCell ref="K210:K211"/>
    <mergeCell ref="K212:K213"/>
    <mergeCell ref="K214:K215"/>
    <mergeCell ref="J240:J241"/>
    <mergeCell ref="K240:K241"/>
    <mergeCell ref="A210:A211"/>
    <mergeCell ref="A212:A213"/>
    <mergeCell ref="B212:B213"/>
    <mergeCell ref="C212:C213"/>
    <mergeCell ref="D212:D213"/>
    <mergeCell ref="E212:E213"/>
    <mergeCell ref="F212:F213"/>
    <mergeCell ref="K202:K203"/>
    <mergeCell ref="N202:N203"/>
    <mergeCell ref="K204:K205"/>
    <mergeCell ref="N204:N205"/>
    <mergeCell ref="K206:K207"/>
    <mergeCell ref="N206:N207"/>
    <mergeCell ref="N208:N209"/>
    <mergeCell ref="N210:N211"/>
    <mergeCell ref="N212:N213"/>
    <mergeCell ref="N214:N215"/>
    <mergeCell ref="N216:N217"/>
    <mergeCell ref="N218:N219"/>
    <mergeCell ref="N220:N221"/>
    <mergeCell ref="N222:N223"/>
    <mergeCell ref="A240:A241"/>
    <mergeCell ref="B240:B241"/>
    <mergeCell ref="C240:C241"/>
    <mergeCell ref="D240:D241"/>
    <mergeCell ref="E240:E241"/>
    <mergeCell ref="F240:F241"/>
    <mergeCell ref="A242:A243"/>
    <mergeCell ref="F242:F243"/>
    <mergeCell ref="J246:J247"/>
    <mergeCell ref="J248:J249"/>
    <mergeCell ref="K248:K249"/>
    <mergeCell ref="D242:D243"/>
    <mergeCell ref="E242:E243"/>
    <mergeCell ref="J242:J243"/>
    <mergeCell ref="K242:K243"/>
    <mergeCell ref="J244:J245"/>
    <mergeCell ref="K244:K245"/>
    <mergeCell ref="K246:K247"/>
    <mergeCell ref="B242:B243"/>
    <mergeCell ref="C242:C243"/>
    <mergeCell ref="B244:B245"/>
    <mergeCell ref="C244:C245"/>
    <mergeCell ref="D244:D245"/>
    <mergeCell ref="E244:E245"/>
    <mergeCell ref="F244:F245"/>
    <mergeCell ref="A244:A245"/>
    <mergeCell ref="A246:A247"/>
    <mergeCell ref="B246:B247"/>
    <mergeCell ref="C246:C247"/>
    <mergeCell ref="D246:D247"/>
    <mergeCell ref="E246:E247"/>
    <mergeCell ref="F246:F247"/>
    <mergeCell ref="A248:A249"/>
    <mergeCell ref="B248:B249"/>
    <mergeCell ref="C248:C249"/>
    <mergeCell ref="D248:D249"/>
    <mergeCell ref="E248:E249"/>
    <mergeCell ref="F248:F249"/>
    <mergeCell ref="A250:A251"/>
    <mergeCell ref="F250:F251"/>
    <mergeCell ref="J254:J255"/>
    <mergeCell ref="J256:J257"/>
    <mergeCell ref="K256:K257"/>
    <mergeCell ref="D250:D251"/>
    <mergeCell ref="E250:E251"/>
    <mergeCell ref="J250:J251"/>
    <mergeCell ref="K250:K251"/>
    <mergeCell ref="J252:J253"/>
    <mergeCell ref="K252:K253"/>
    <mergeCell ref="K254:K255"/>
    <mergeCell ref="B250:B251"/>
    <mergeCell ref="C250:C251"/>
    <mergeCell ref="B252:B253"/>
    <mergeCell ref="C252:C253"/>
    <mergeCell ref="D252:D253"/>
    <mergeCell ref="E252:E253"/>
    <mergeCell ref="F252:F253"/>
    <mergeCell ref="A252:A253"/>
    <mergeCell ref="A254:A255"/>
    <mergeCell ref="B254:B255"/>
    <mergeCell ref="C254:C255"/>
    <mergeCell ref="D254:D255"/>
    <mergeCell ref="E254:E255"/>
    <mergeCell ref="F254:F255"/>
    <mergeCell ref="J305:J306"/>
    <mergeCell ref="J307:J308"/>
    <mergeCell ref="K307:K308"/>
    <mergeCell ref="J291:J292"/>
    <mergeCell ref="J293:J294"/>
    <mergeCell ref="J295:J296"/>
    <mergeCell ref="J297:J298"/>
    <mergeCell ref="J299:J300"/>
    <mergeCell ref="J301:J302"/>
    <mergeCell ref="J303:J304"/>
    <mergeCell ref="A256:A257"/>
    <mergeCell ref="B256:B257"/>
    <mergeCell ref="C256:C257"/>
    <mergeCell ref="D256:D257"/>
    <mergeCell ref="E256:E257"/>
    <mergeCell ref="F256:F257"/>
    <mergeCell ref="A258:A259"/>
    <mergeCell ref="F258:F259"/>
    <mergeCell ref="D258:D259"/>
    <mergeCell ref="E258:E259"/>
    <mergeCell ref="J258:J259"/>
    <mergeCell ref="K258:K259"/>
    <mergeCell ref="J260:J261"/>
    <mergeCell ref="K260:K261"/>
    <mergeCell ref="K262:K263"/>
    <mergeCell ref="J262:J263"/>
    <mergeCell ref="J265:J266"/>
    <mergeCell ref="K265:K266"/>
    <mergeCell ref="J267:J268"/>
    <mergeCell ref="K267:K268"/>
    <mergeCell ref="J269:J270"/>
    <mergeCell ref="K269:K270"/>
    <mergeCell ref="J271:J272"/>
    <mergeCell ref="K271:K272"/>
    <mergeCell ref="J273:J274"/>
    <mergeCell ref="K273:K274"/>
    <mergeCell ref="J275:J276"/>
    <mergeCell ref="K275:K276"/>
    <mergeCell ref="K277:K278"/>
    <mergeCell ref="J277:J278"/>
    <mergeCell ref="J279:J280"/>
    <mergeCell ref="J281:J282"/>
    <mergeCell ref="J283:J284"/>
    <mergeCell ref="J285:J286"/>
    <mergeCell ref="J287:J288"/>
    <mergeCell ref="J289:J290"/>
    <mergeCell ref="K293:K294"/>
    <mergeCell ref="K295:K296"/>
    <mergeCell ref="K297:K298"/>
    <mergeCell ref="K299:K300"/>
    <mergeCell ref="K301:K302"/>
    <mergeCell ref="K303:K304"/>
    <mergeCell ref="K305:K306"/>
    <mergeCell ref="K279:K280"/>
    <mergeCell ref="K281:K282"/>
    <mergeCell ref="K283:K284"/>
    <mergeCell ref="K285:K286"/>
    <mergeCell ref="K287:K288"/>
    <mergeCell ref="K289:K290"/>
    <mergeCell ref="K291:K292"/>
    <mergeCell ref="C10:C11"/>
    <mergeCell ref="D10:D11"/>
    <mergeCell ref="E10:E11"/>
    <mergeCell ref="F10:F11"/>
    <mergeCell ref="J10:J11"/>
    <mergeCell ref="K10:K11"/>
    <mergeCell ref="N10:N11"/>
    <mergeCell ref="B10:B11"/>
    <mergeCell ref="B12:B13"/>
    <mergeCell ref="C12:C13"/>
    <mergeCell ref="D12:D13"/>
    <mergeCell ref="E12:E13"/>
    <mergeCell ref="F12:F13"/>
    <mergeCell ref="J12:J13"/>
    <mergeCell ref="J14:J15"/>
    <mergeCell ref="K14:K15"/>
    <mergeCell ref="K12:K13"/>
    <mergeCell ref="N12:N13"/>
    <mergeCell ref="C14:C15"/>
    <mergeCell ref="D14:D15"/>
    <mergeCell ref="E14:E15"/>
    <mergeCell ref="F14:F15"/>
    <mergeCell ref="N14:N15"/>
    <mergeCell ref="K16:K17"/>
    <mergeCell ref="N16:N17"/>
    <mergeCell ref="B14:B15"/>
    <mergeCell ref="B16:B17"/>
    <mergeCell ref="C16:C17"/>
    <mergeCell ref="D16:D17"/>
    <mergeCell ref="E16:E17"/>
    <mergeCell ref="F16:F17"/>
    <mergeCell ref="J16:J17"/>
    <mergeCell ref="C18:C19"/>
    <mergeCell ref="D18:D19"/>
    <mergeCell ref="E18:E19"/>
    <mergeCell ref="F18:F19"/>
    <mergeCell ref="J18:J19"/>
    <mergeCell ref="K18:K19"/>
    <mergeCell ref="N18:N19"/>
    <mergeCell ref="B18:B19"/>
    <mergeCell ref="B20:B21"/>
    <mergeCell ref="C20:C21"/>
    <mergeCell ref="D20:D21"/>
    <mergeCell ref="E20:E21"/>
    <mergeCell ref="F20:F21"/>
    <mergeCell ref="J20:J21"/>
    <mergeCell ref="J22:J23"/>
    <mergeCell ref="K22:K23"/>
    <mergeCell ref="K20:K21"/>
    <mergeCell ref="N20:N21"/>
    <mergeCell ref="C22:C23"/>
    <mergeCell ref="D22:D23"/>
    <mergeCell ref="E22:E23"/>
    <mergeCell ref="F22:F23"/>
    <mergeCell ref="N22:N23"/>
    <mergeCell ref="K24:K25"/>
    <mergeCell ref="N24:N25"/>
    <mergeCell ref="B22:B23"/>
    <mergeCell ref="B24:B25"/>
    <mergeCell ref="C24:C25"/>
    <mergeCell ref="D24:D25"/>
    <mergeCell ref="E24:E25"/>
    <mergeCell ref="F24:F25"/>
    <mergeCell ref="J24:J25"/>
    <mergeCell ref="C26:C27"/>
    <mergeCell ref="D26:D27"/>
    <mergeCell ref="E26:E27"/>
    <mergeCell ref="F26:F27"/>
    <mergeCell ref="J26:J27"/>
    <mergeCell ref="K26:K27"/>
    <mergeCell ref="N26:N27"/>
    <mergeCell ref="B26:B27"/>
    <mergeCell ref="B28:B29"/>
    <mergeCell ref="C28:C29"/>
    <mergeCell ref="D28:D29"/>
    <mergeCell ref="E28:E29"/>
    <mergeCell ref="F28:F29"/>
    <mergeCell ref="J28:J29"/>
    <mergeCell ref="J30:J31"/>
    <mergeCell ref="K30:K31"/>
    <mergeCell ref="K28:K29"/>
    <mergeCell ref="N28:N29"/>
    <mergeCell ref="B30:B31"/>
    <mergeCell ref="C30:C31"/>
    <mergeCell ref="D30:D31"/>
    <mergeCell ref="E30:E31"/>
    <mergeCell ref="F30:F31"/>
    <mergeCell ref="C32:C33"/>
    <mergeCell ref="D32:D33"/>
    <mergeCell ref="E32:E33"/>
    <mergeCell ref="F32:F33"/>
    <mergeCell ref="J32:J33"/>
    <mergeCell ref="K32:K33"/>
    <mergeCell ref="N32:N33"/>
    <mergeCell ref="B32:B33"/>
    <mergeCell ref="B34:B35"/>
    <mergeCell ref="C34:C35"/>
    <mergeCell ref="D34:D35"/>
    <mergeCell ref="E34:E35"/>
    <mergeCell ref="F34:F35"/>
    <mergeCell ref="J34:J35"/>
    <mergeCell ref="J36:J37"/>
    <mergeCell ref="K36:K37"/>
    <mergeCell ref="K34:K35"/>
    <mergeCell ref="N34:N35"/>
    <mergeCell ref="C36:C37"/>
    <mergeCell ref="D36:D37"/>
    <mergeCell ref="E36:E37"/>
    <mergeCell ref="F36:F37"/>
    <mergeCell ref="N36:N37"/>
    <mergeCell ref="K38:K39"/>
    <mergeCell ref="N38:N39"/>
    <mergeCell ref="B36:B37"/>
    <mergeCell ref="B38:B39"/>
    <mergeCell ref="C38:C39"/>
    <mergeCell ref="D38:D39"/>
    <mergeCell ref="E38:E39"/>
    <mergeCell ref="F38:F39"/>
    <mergeCell ref="J38:J39"/>
    <mergeCell ref="C40:C41"/>
    <mergeCell ref="D40:D41"/>
    <mergeCell ref="E40:E41"/>
    <mergeCell ref="F40:F41"/>
    <mergeCell ref="J40:J41"/>
    <mergeCell ref="K40:K41"/>
    <mergeCell ref="N40:N41"/>
    <mergeCell ref="B40:B41"/>
    <mergeCell ref="B42:B43"/>
    <mergeCell ref="C42:C43"/>
    <mergeCell ref="D42:D43"/>
    <mergeCell ref="E42:E43"/>
    <mergeCell ref="F42:F43"/>
    <mergeCell ref="J42:J43"/>
    <mergeCell ref="J44:J45"/>
    <mergeCell ref="K44:K45"/>
    <mergeCell ref="K42:K43"/>
    <mergeCell ref="N42:N43"/>
    <mergeCell ref="C44:C45"/>
    <mergeCell ref="D44:D45"/>
    <mergeCell ref="E44:E45"/>
    <mergeCell ref="F44:F45"/>
    <mergeCell ref="N44:N45"/>
    <mergeCell ref="K46:K47"/>
    <mergeCell ref="N46:N47"/>
    <mergeCell ref="B44:B45"/>
    <mergeCell ref="B46:B47"/>
    <mergeCell ref="C46:C47"/>
    <mergeCell ref="D46:D47"/>
    <mergeCell ref="E46:E47"/>
    <mergeCell ref="F46:F47"/>
    <mergeCell ref="J46:J47"/>
    <mergeCell ref="C48:C49"/>
    <mergeCell ref="D48:D49"/>
    <mergeCell ref="E48:E49"/>
    <mergeCell ref="F48:F49"/>
    <mergeCell ref="J48:J49"/>
    <mergeCell ref="K48:K49"/>
    <mergeCell ref="N48:N49"/>
    <mergeCell ref="B48:B49"/>
    <mergeCell ref="B50:B51"/>
    <mergeCell ref="C50:C51"/>
    <mergeCell ref="D50:D51"/>
    <mergeCell ref="E50:E51"/>
    <mergeCell ref="F50:F51"/>
    <mergeCell ref="J50:J51"/>
    <mergeCell ref="J52:J53"/>
    <mergeCell ref="K52:K53"/>
    <mergeCell ref="K50:K51"/>
    <mergeCell ref="N50:N51"/>
    <mergeCell ref="C52:C53"/>
    <mergeCell ref="D52:D53"/>
    <mergeCell ref="E52:E53"/>
    <mergeCell ref="F52:F53"/>
    <mergeCell ref="N52:N53"/>
    <mergeCell ref="C57:C58"/>
    <mergeCell ref="D57:D58"/>
    <mergeCell ref="E57:E58"/>
    <mergeCell ref="F57:F58"/>
    <mergeCell ref="J57:J58"/>
    <mergeCell ref="K57:K58"/>
    <mergeCell ref="N57:N58"/>
    <mergeCell ref="B57:B58"/>
    <mergeCell ref="B59:B60"/>
    <mergeCell ref="C59:C60"/>
    <mergeCell ref="D59:D60"/>
    <mergeCell ref="E59:E60"/>
    <mergeCell ref="F59:F60"/>
    <mergeCell ref="J59:J60"/>
    <mergeCell ref="J61:J62"/>
    <mergeCell ref="K61:K62"/>
    <mergeCell ref="K59:K60"/>
    <mergeCell ref="N59:N60"/>
    <mergeCell ref="C61:C62"/>
    <mergeCell ref="D61:D62"/>
    <mergeCell ref="E61:E62"/>
    <mergeCell ref="F61:F62"/>
    <mergeCell ref="N61:N62"/>
    <mergeCell ref="K63:K64"/>
    <mergeCell ref="N63:N64"/>
    <mergeCell ref="B61:B62"/>
    <mergeCell ref="B63:B64"/>
    <mergeCell ref="C63:C64"/>
    <mergeCell ref="D63:D64"/>
    <mergeCell ref="E63:E64"/>
    <mergeCell ref="F63:F64"/>
    <mergeCell ref="J63:J64"/>
    <mergeCell ref="C65:C66"/>
    <mergeCell ref="D65:D66"/>
    <mergeCell ref="E65:E66"/>
    <mergeCell ref="F65:F66"/>
    <mergeCell ref="J65:J66"/>
    <mergeCell ref="K65:K66"/>
    <mergeCell ref="N65:N66"/>
    <mergeCell ref="B65:B66"/>
    <mergeCell ref="B67:B68"/>
    <mergeCell ref="C67:C68"/>
    <mergeCell ref="D67:D68"/>
    <mergeCell ref="E67:E68"/>
    <mergeCell ref="F67:F68"/>
    <mergeCell ref="J67:J68"/>
    <mergeCell ref="J69:J70"/>
    <mergeCell ref="K69:K70"/>
    <mergeCell ref="K67:K68"/>
    <mergeCell ref="N67:N68"/>
    <mergeCell ref="C69:C70"/>
    <mergeCell ref="D69:D70"/>
    <mergeCell ref="E69:E70"/>
    <mergeCell ref="F69:F70"/>
    <mergeCell ref="N69:N70"/>
    <mergeCell ref="K71:K72"/>
    <mergeCell ref="N71:N72"/>
    <mergeCell ref="B69:B70"/>
    <mergeCell ref="B71:B72"/>
    <mergeCell ref="C71:C72"/>
    <mergeCell ref="D71:D72"/>
    <mergeCell ref="E71:E72"/>
    <mergeCell ref="F71:F72"/>
    <mergeCell ref="J71:J72"/>
    <mergeCell ref="C73:C74"/>
    <mergeCell ref="D73:D74"/>
    <mergeCell ref="E73:E74"/>
    <mergeCell ref="F73:F74"/>
    <mergeCell ref="J73:J74"/>
    <mergeCell ref="K73:K74"/>
    <mergeCell ref="N73:N74"/>
    <mergeCell ref="B73:B74"/>
    <mergeCell ref="B75:B76"/>
    <mergeCell ref="C75:C76"/>
    <mergeCell ref="D75:D76"/>
    <mergeCell ref="E75:E76"/>
    <mergeCell ref="F75:F76"/>
    <mergeCell ref="J75:J76"/>
    <mergeCell ref="J77:J78"/>
    <mergeCell ref="K77:K78"/>
    <mergeCell ref="K75:K76"/>
    <mergeCell ref="N75:N76"/>
    <mergeCell ref="C77:C78"/>
    <mergeCell ref="D77:D78"/>
    <mergeCell ref="E77:E78"/>
    <mergeCell ref="F77:F78"/>
    <mergeCell ref="N77:N78"/>
    <mergeCell ref="K79:K80"/>
    <mergeCell ref="N79:N80"/>
    <mergeCell ref="B77:B78"/>
    <mergeCell ref="B79:B80"/>
    <mergeCell ref="C79:C80"/>
    <mergeCell ref="D79:D80"/>
    <mergeCell ref="E79:E80"/>
    <mergeCell ref="F79:F80"/>
    <mergeCell ref="J79:J80"/>
    <mergeCell ref="C81:C82"/>
    <mergeCell ref="D81:D82"/>
    <mergeCell ref="E81:E82"/>
    <mergeCell ref="F81:F82"/>
    <mergeCell ref="J81:J82"/>
    <mergeCell ref="K81:K82"/>
    <mergeCell ref="N81:N82"/>
    <mergeCell ref="B81:B82"/>
    <mergeCell ref="B83:B84"/>
    <mergeCell ref="C83:C84"/>
    <mergeCell ref="D83:D84"/>
    <mergeCell ref="E83:E84"/>
    <mergeCell ref="F83:F84"/>
    <mergeCell ref="J83:J84"/>
    <mergeCell ref="J85:J86"/>
    <mergeCell ref="K85:K86"/>
    <mergeCell ref="K83:K84"/>
    <mergeCell ref="N83:N84"/>
    <mergeCell ref="C85:C86"/>
    <mergeCell ref="D85:D86"/>
    <mergeCell ref="E85:E86"/>
    <mergeCell ref="F85:F86"/>
    <mergeCell ref="N85:N86"/>
    <mergeCell ref="K87:K88"/>
    <mergeCell ref="N87:N88"/>
    <mergeCell ref="B85:B86"/>
    <mergeCell ref="B87:B88"/>
    <mergeCell ref="C87:C88"/>
    <mergeCell ref="D87:D88"/>
    <mergeCell ref="E87:E88"/>
    <mergeCell ref="F87:F88"/>
    <mergeCell ref="J87:J88"/>
    <mergeCell ref="K55:K56"/>
    <mergeCell ref="N55:N56"/>
    <mergeCell ref="B52:B53"/>
    <mergeCell ref="B55:B56"/>
    <mergeCell ref="C55:C56"/>
    <mergeCell ref="D55:D56"/>
    <mergeCell ref="E55:E56"/>
    <mergeCell ref="F55:F56"/>
    <mergeCell ref="J55:J56"/>
    <mergeCell ref="C89:C90"/>
    <mergeCell ref="D89:D90"/>
    <mergeCell ref="E89:E90"/>
    <mergeCell ref="F89:F90"/>
    <mergeCell ref="J89:J90"/>
    <mergeCell ref="K89:K90"/>
    <mergeCell ref="N89:N90"/>
    <mergeCell ref="B89:B90"/>
    <mergeCell ref="B91:B92"/>
    <mergeCell ref="C91:C92"/>
    <mergeCell ref="D91:D92"/>
    <mergeCell ref="E91:E92"/>
    <mergeCell ref="F91:F92"/>
    <mergeCell ref="J91:J92"/>
    <mergeCell ref="J93:J94"/>
    <mergeCell ref="K93:K94"/>
    <mergeCell ref="K91:K92"/>
    <mergeCell ref="N91:N92"/>
    <mergeCell ref="C93:C94"/>
    <mergeCell ref="D93:D94"/>
    <mergeCell ref="E93:E94"/>
    <mergeCell ref="F93:F94"/>
    <mergeCell ref="N93:N94"/>
    <mergeCell ref="K95:K96"/>
    <mergeCell ref="N95:N96"/>
    <mergeCell ref="B93:B94"/>
    <mergeCell ref="B95:B96"/>
    <mergeCell ref="C95:C96"/>
    <mergeCell ref="D95:D96"/>
    <mergeCell ref="E95:E96"/>
    <mergeCell ref="F95:F96"/>
    <mergeCell ref="J95:J96"/>
    <mergeCell ref="J102:J103"/>
    <mergeCell ref="K102:K103"/>
    <mergeCell ref="K100:K101"/>
    <mergeCell ref="N100:N101"/>
    <mergeCell ref="C102:C103"/>
    <mergeCell ref="D102:D103"/>
    <mergeCell ref="E102:E103"/>
    <mergeCell ref="F102:F103"/>
    <mergeCell ref="N102:N103"/>
    <mergeCell ref="K104:K105"/>
    <mergeCell ref="N104:N105"/>
    <mergeCell ref="B102:B103"/>
    <mergeCell ref="B104:B105"/>
    <mergeCell ref="C104:C105"/>
    <mergeCell ref="D104:D105"/>
    <mergeCell ref="E104:E105"/>
    <mergeCell ref="F104:F105"/>
    <mergeCell ref="J104:J105"/>
    <mergeCell ref="K106:K107"/>
    <mergeCell ref="N106:N107"/>
    <mergeCell ref="B106:B107"/>
    <mergeCell ref="C106:C107"/>
    <mergeCell ref="D106:D107"/>
    <mergeCell ref="E106:E107"/>
    <mergeCell ref="F106:F107"/>
    <mergeCell ref="I106:I107"/>
    <mergeCell ref="J106:J107"/>
    <mergeCell ref="C97:C98"/>
    <mergeCell ref="D97:D98"/>
    <mergeCell ref="E97:E98"/>
    <mergeCell ref="F97:F98"/>
    <mergeCell ref="J97:J98"/>
    <mergeCell ref="K97:K98"/>
    <mergeCell ref="N97:N98"/>
    <mergeCell ref="B97:B98"/>
    <mergeCell ref="B100:B101"/>
    <mergeCell ref="C100:C101"/>
    <mergeCell ref="D100:D101"/>
    <mergeCell ref="E100:E101"/>
    <mergeCell ref="F100:F101"/>
    <mergeCell ref="J100:J101"/>
    <mergeCell ref="C2:C3"/>
    <mergeCell ref="D2:D3"/>
    <mergeCell ref="E2:E3"/>
    <mergeCell ref="F2:F3"/>
    <mergeCell ref="J2:J3"/>
    <mergeCell ref="K2:K3"/>
    <mergeCell ref="N2:N3"/>
    <mergeCell ref="K4:K5"/>
    <mergeCell ref="N4:N5"/>
    <mergeCell ref="B2:B3"/>
    <mergeCell ref="B4:B5"/>
    <mergeCell ref="C4:C5"/>
    <mergeCell ref="D4:D5"/>
    <mergeCell ref="E4:E5"/>
    <mergeCell ref="F4:F5"/>
    <mergeCell ref="J4:J5"/>
    <mergeCell ref="C6:C7"/>
    <mergeCell ref="D6:D7"/>
    <mergeCell ref="E6:E7"/>
    <mergeCell ref="F6:F7"/>
    <mergeCell ref="J6:J7"/>
    <mergeCell ref="K6:K7"/>
    <mergeCell ref="N6:N7"/>
    <mergeCell ref="K8:K9"/>
    <mergeCell ref="N8:N9"/>
    <mergeCell ref="B6:B7"/>
    <mergeCell ref="B8:B9"/>
    <mergeCell ref="C8:C9"/>
    <mergeCell ref="D8:D9"/>
    <mergeCell ref="E8:E9"/>
    <mergeCell ref="F8:F9"/>
    <mergeCell ref="J8:J9"/>
    <mergeCell ref="K126:K127"/>
    <mergeCell ref="N126:N127"/>
    <mergeCell ref="C108:C109"/>
    <mergeCell ref="D108:D109"/>
    <mergeCell ref="E108:E109"/>
    <mergeCell ref="F108:F109"/>
    <mergeCell ref="J108:J109"/>
    <mergeCell ref="K108:K109"/>
    <mergeCell ref="N108:N109"/>
    <mergeCell ref="B108:B109"/>
    <mergeCell ref="B110:B111"/>
    <mergeCell ref="C110:C111"/>
    <mergeCell ref="D110:D111"/>
    <mergeCell ref="E110:E111"/>
    <mergeCell ref="F110:F111"/>
    <mergeCell ref="J110:J111"/>
    <mergeCell ref="J112:J113"/>
    <mergeCell ref="K112:K113"/>
    <mergeCell ref="K110:K111"/>
    <mergeCell ref="N110:N111"/>
    <mergeCell ref="C112:C113"/>
    <mergeCell ref="D112:D113"/>
    <mergeCell ref="E112:E113"/>
    <mergeCell ref="F112:F113"/>
    <mergeCell ref="N112:N113"/>
    <mergeCell ref="K114:K115"/>
    <mergeCell ref="N114:N115"/>
    <mergeCell ref="B112:B113"/>
    <mergeCell ref="B114:B115"/>
    <mergeCell ref="C114:C115"/>
    <mergeCell ref="D114:D115"/>
    <mergeCell ref="E114:E115"/>
    <mergeCell ref="F114:F115"/>
    <mergeCell ref="J114:J115"/>
    <mergeCell ref="C116:C117"/>
    <mergeCell ref="D116:D117"/>
    <mergeCell ref="E116:E117"/>
    <mergeCell ref="F116:F117"/>
    <mergeCell ref="J116:J117"/>
    <mergeCell ref="K116:K117"/>
    <mergeCell ref="N116:N117"/>
    <mergeCell ref="B116:B117"/>
    <mergeCell ref="B118:B119"/>
    <mergeCell ref="C118:C119"/>
    <mergeCell ref="D118:D119"/>
    <mergeCell ref="E118:E119"/>
    <mergeCell ref="F118:F119"/>
    <mergeCell ref="J118:J119"/>
    <mergeCell ref="J120:J121"/>
    <mergeCell ref="K120:K121"/>
    <mergeCell ref="K118:K119"/>
    <mergeCell ref="N118:N119"/>
    <mergeCell ref="C120:C121"/>
    <mergeCell ref="D120:D121"/>
    <mergeCell ref="E120:E121"/>
    <mergeCell ref="F120:F121"/>
    <mergeCell ref="N120:N121"/>
    <mergeCell ref="K122:K123"/>
    <mergeCell ref="N122:N123"/>
    <mergeCell ref="B120:B121"/>
    <mergeCell ref="B122:B123"/>
    <mergeCell ref="C122:C123"/>
    <mergeCell ref="D122:D123"/>
    <mergeCell ref="E122:E123"/>
    <mergeCell ref="F122:F123"/>
    <mergeCell ref="J122:J123"/>
    <mergeCell ref="C132:C133"/>
    <mergeCell ref="D132:D133"/>
    <mergeCell ref="E132:E133"/>
    <mergeCell ref="F132:F133"/>
    <mergeCell ref="J132:J133"/>
    <mergeCell ref="K132:K133"/>
    <mergeCell ref="N132:N133"/>
    <mergeCell ref="B132:B133"/>
    <mergeCell ref="B134:B135"/>
    <mergeCell ref="C134:C135"/>
    <mergeCell ref="D134:D135"/>
    <mergeCell ref="E134:E135"/>
    <mergeCell ref="F134:F135"/>
    <mergeCell ref="J134:J135"/>
  </mergeCells>
  <conditionalFormatting sqref="A280">
    <cfRule type="notContainsBlanks" dxfId="0" priority="1">
      <formula>LEN(TRIM(A280))&gt;0</formula>
    </cfRule>
  </conditionalFormatting>
  <hyperlinks>
    <hyperlink r:id="rId2" ref="N2"/>
    <hyperlink r:id="rId3" ref="N4"/>
    <hyperlink r:id="rId4" ref="N6"/>
    <hyperlink r:id="rId5" ref="N8"/>
    <hyperlink r:id="rId6" ref="N10"/>
    <hyperlink r:id="rId7" ref="N12"/>
    <hyperlink r:id="rId8" ref="N14"/>
    <hyperlink r:id="rId9" ref="N16"/>
    <hyperlink r:id="rId10" ref="N18"/>
    <hyperlink r:id="rId11" ref="N20"/>
    <hyperlink r:id="rId12" ref="N22"/>
    <hyperlink r:id="rId13" ref="N24"/>
    <hyperlink r:id="rId14" ref="N26"/>
    <hyperlink r:id="rId15" ref="N28"/>
    <hyperlink r:id="rId16" ref="N32"/>
    <hyperlink r:id="rId17" ref="N34"/>
    <hyperlink r:id="rId18" ref="N36"/>
    <hyperlink r:id="rId19" ref="N38"/>
    <hyperlink r:id="rId20" ref="N40"/>
    <hyperlink r:id="rId21" ref="N42"/>
    <hyperlink r:id="rId22" ref="N44"/>
    <hyperlink r:id="rId23" ref="N46"/>
    <hyperlink r:id="rId24" ref="N48"/>
    <hyperlink r:id="rId25" ref="N50"/>
    <hyperlink r:id="rId26" ref="N52"/>
    <hyperlink r:id="rId27" ref="N55"/>
    <hyperlink r:id="rId28" ref="N57"/>
    <hyperlink r:id="rId29" ref="N59"/>
    <hyperlink r:id="rId30" ref="N61"/>
    <hyperlink r:id="rId31" ref="N63"/>
    <hyperlink r:id="rId32" ref="N65"/>
    <hyperlink r:id="rId33" ref="N67"/>
    <hyperlink r:id="rId34" ref="N69"/>
    <hyperlink r:id="rId35" ref="N71"/>
    <hyperlink r:id="rId36" ref="N73"/>
    <hyperlink r:id="rId37" location=":~:text=View%20full-text" ref="N75"/>
    <hyperlink r:id="rId38" ref="N77"/>
    <hyperlink r:id="rId39" ref="N79"/>
    <hyperlink r:id="rId40" ref="N81"/>
    <hyperlink r:id="rId41" ref="N83"/>
    <hyperlink r:id="rId42" ref="N85"/>
    <hyperlink r:id="rId43" ref="N87"/>
    <hyperlink r:id="rId44" ref="N89"/>
    <hyperlink r:id="rId45" ref="N91"/>
    <hyperlink r:id="rId46" ref="N93"/>
    <hyperlink r:id="rId47" ref="N95"/>
    <hyperlink r:id="rId48" ref="N97"/>
    <hyperlink r:id="rId49" ref="N100"/>
    <hyperlink r:id="rId50" ref="N102"/>
    <hyperlink r:id="rId51" ref="N104"/>
    <hyperlink r:id="rId52" ref="N106"/>
    <hyperlink r:id="rId53" ref="N108"/>
    <hyperlink r:id="rId54" ref="N110"/>
    <hyperlink r:id="rId55" ref="N112"/>
    <hyperlink r:id="rId56" ref="N114"/>
    <hyperlink r:id="rId57" ref="N116"/>
    <hyperlink r:id="rId58" ref="N118"/>
    <hyperlink r:id="rId59" ref="N120"/>
    <hyperlink r:id="rId60" ref="N122"/>
    <hyperlink r:id="rId61" ref="N124"/>
    <hyperlink r:id="rId62" ref="N126"/>
    <hyperlink r:id="rId63" ref="N128"/>
    <hyperlink r:id="rId64" ref="N130"/>
    <hyperlink r:id="rId65" ref="N132"/>
    <hyperlink r:id="rId66" ref="N134"/>
    <hyperlink r:id="rId67" ref="N136"/>
    <hyperlink r:id="rId68" ref="N138"/>
    <hyperlink r:id="rId69" ref="N140"/>
    <hyperlink r:id="rId70" ref="N142"/>
    <hyperlink r:id="rId71" ref="N145"/>
    <hyperlink r:id="rId72" ref="N147"/>
    <hyperlink r:id="rId73" ref="N149"/>
    <hyperlink r:id="rId74" ref="N151"/>
    <hyperlink r:id="rId75" ref="N153"/>
    <hyperlink r:id="rId76" ref="N155"/>
    <hyperlink r:id="rId77" ref="N157"/>
    <hyperlink r:id="rId78" ref="N159"/>
    <hyperlink r:id="rId79" ref="N161"/>
    <hyperlink r:id="rId80" ref="N163"/>
    <hyperlink r:id="rId81" ref="N165"/>
    <hyperlink r:id="rId82" ref="N167"/>
    <hyperlink r:id="rId83" ref="N169"/>
    <hyperlink r:id="rId84" ref="N171"/>
    <hyperlink r:id="rId85" ref="N173"/>
    <hyperlink r:id="rId86" ref="N175"/>
    <hyperlink r:id="rId87" ref="N177"/>
    <hyperlink r:id="rId88" ref="N179"/>
    <hyperlink r:id="rId89" ref="N181"/>
    <hyperlink r:id="rId90" ref="N183"/>
    <hyperlink r:id="rId91" ref="N185"/>
    <hyperlink r:id="rId92" ref="N187"/>
    <hyperlink r:id="rId93" ref="N189"/>
    <hyperlink r:id="rId94" location=":~:text=provide%20background%20information%20%20on,further%20research%20in%20this%20direction" ref="N191"/>
    <hyperlink r:id="rId95" ref="N193"/>
    <hyperlink r:id="rId96" location=":~:text=device%20like%20the%20ESP,36%20mJ35%20%2C%2060" ref="N195"/>
    <hyperlink r:id="rId97" ref="N197"/>
    <hyperlink r:id="rId98" ref="N199"/>
    <hyperlink r:id="rId99" ref="N202"/>
    <hyperlink r:id="rId100" ref="N204"/>
    <hyperlink r:id="rId101" ref="N206"/>
    <hyperlink r:id="rId102" ref="N208"/>
    <hyperlink r:id="rId103" ref="N210"/>
    <hyperlink r:id="rId104" ref="N212"/>
    <hyperlink r:id="rId105" ref="N214"/>
    <hyperlink r:id="rId106" ref="N216"/>
    <hyperlink r:id="rId107" ref="N218"/>
    <hyperlink r:id="rId108" ref="N220"/>
    <hyperlink r:id="rId109" ref="N222"/>
    <hyperlink r:id="rId110" ref="N224"/>
    <hyperlink r:id="rId111" ref="N226"/>
    <hyperlink r:id="rId112" ref="N228"/>
    <hyperlink r:id="rId113" ref="N230"/>
    <hyperlink r:id="rId114" ref="N232"/>
    <hyperlink r:id="rId115" ref="N234"/>
    <hyperlink r:id="rId116" ref="N236"/>
    <hyperlink r:id="rId117" ref="N238"/>
    <hyperlink r:id="rId118" ref="N240"/>
    <hyperlink r:id="rId119" ref="N242"/>
    <hyperlink r:id="rId120" ref="N244"/>
    <hyperlink r:id="rId121" ref="N246"/>
    <hyperlink r:id="rId122" ref="N248"/>
    <hyperlink r:id="rId123" ref="N250"/>
    <hyperlink r:id="rId124" ref="N252"/>
    <hyperlink r:id="rId125" ref="N254"/>
    <hyperlink r:id="rId126" ref="N256"/>
    <hyperlink r:id="rId127" ref="N258"/>
    <hyperlink r:id="rId128" ref="N260"/>
    <hyperlink r:id="rId129" ref="N262"/>
    <hyperlink r:id="rId130" ref="N265"/>
    <hyperlink r:id="rId131" ref="N267"/>
    <hyperlink r:id="rId132" ref="N269"/>
    <hyperlink r:id="rId133" ref="N271"/>
    <hyperlink r:id="rId134" ref="N273"/>
    <hyperlink r:id="rId135" ref="N275"/>
    <hyperlink r:id="rId136" ref="N277"/>
    <hyperlink r:id="rId137" ref="N279"/>
    <hyperlink r:id="rId138" ref="N281"/>
    <hyperlink r:id="rId139" ref="N283"/>
    <hyperlink r:id="rId140" ref="N285"/>
    <hyperlink r:id="rId141" ref="N287"/>
    <hyperlink r:id="rId142" ref="N289"/>
    <hyperlink r:id="rId143" ref="N291"/>
    <hyperlink r:id="rId144" ref="N293"/>
    <hyperlink r:id="rId145" ref="N295"/>
    <hyperlink r:id="rId146" ref="N297"/>
    <hyperlink r:id="rId147" ref="N299"/>
    <hyperlink r:id="rId148" ref="N301"/>
    <hyperlink r:id="rId149" ref="N303"/>
    <hyperlink r:id="rId150" ref="N305"/>
    <hyperlink r:id="rId151" ref="N307"/>
  </hyperlinks>
  <printOptions/>
  <pageMargins bottom="1.0" footer="0.0" header="0.0" left="0.75" right="0.75" top="1.0"/>
  <pageSetup orientation="landscape"/>
  <drawing r:id="rId152"/>
  <legacyDrawing r:id="rId15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2026-03-01T06:49:30Z</dcterms:created>
  <dc:creator>openpyxl</dc:creator>
</cp:coreProperties>
</file>